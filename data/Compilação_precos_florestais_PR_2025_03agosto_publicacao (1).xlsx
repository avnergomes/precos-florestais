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W:\SETORES\deral\DEB\Florestal\Precos_ Florestais\2025_agosto\"/>
    </mc:Choice>
  </mc:AlternateContent>
  <bookViews>
    <workbookView xWindow="0" yWindow="0" windowWidth="16380" windowHeight="8190" tabRatio="500"/>
  </bookViews>
  <sheets>
    <sheet name="FORMULÁRIO" sheetId="1" r:id="rId1"/>
    <sheet name="Fatores e notas" sheetId="3" r:id="rId2"/>
  </sheets>
  <definedNames>
    <definedName name="_xlnm.Print_Area" localSheetId="0">FORMULÁRIO!$A$1:$AB$71</definedName>
    <definedName name="Excel_BuiltIn__FilterDatabase" localSheetId="0">FORMULÁRIO!#REF!</definedName>
    <definedName name="_xlnm.Print_Titles" localSheetId="0">FORMULÁRIO!$6:$6</definedName>
  </definedNames>
  <calcPr calcId="162913"/>
</workbook>
</file>

<file path=xl/calcChain.xml><?xml version="1.0" encoding="utf-8"?>
<calcChain xmlns="http://schemas.openxmlformats.org/spreadsheetml/2006/main">
  <c r="AA29" i="1" l="1"/>
  <c r="AB29" i="1" s="1"/>
  <c r="AA30" i="1"/>
  <c r="AB30" i="1" s="1"/>
  <c r="AB60" i="1"/>
  <c r="AA19" i="1"/>
  <c r="AB19" i="1" s="1"/>
  <c r="AA69" i="1"/>
  <c r="AA68" i="1"/>
  <c r="AA65" i="1"/>
  <c r="AA45" i="1"/>
  <c r="AA46" i="1"/>
  <c r="AB46" i="1" s="1"/>
  <c r="AA47" i="1"/>
  <c r="AB47" i="1" s="1"/>
  <c r="AA48" i="1"/>
  <c r="AA49" i="1"/>
  <c r="AB49" i="1" s="1"/>
  <c r="AA50" i="1"/>
  <c r="AA51" i="1"/>
  <c r="AB51" i="1" s="1"/>
  <c r="AA52" i="1"/>
  <c r="AA53" i="1"/>
  <c r="AA54" i="1"/>
  <c r="AB54" i="1" s="1"/>
  <c r="AA55" i="1"/>
  <c r="AB55" i="1" s="1"/>
  <c r="AA56" i="1"/>
  <c r="AA57" i="1"/>
  <c r="AA44" i="1"/>
  <c r="AA37" i="1"/>
  <c r="AA38" i="1"/>
  <c r="AA39" i="1"/>
  <c r="AA41" i="1"/>
  <c r="AA36" i="1"/>
  <c r="AA33" i="1"/>
  <c r="AA27" i="1"/>
  <c r="AA28" i="1"/>
  <c r="AB28" i="1" s="1"/>
  <c r="AA26" i="1"/>
  <c r="AA9" i="1"/>
  <c r="AB9" i="1" s="1"/>
  <c r="AA10" i="1"/>
  <c r="AB10" i="1" s="1"/>
  <c r="AA11" i="1"/>
  <c r="AB11" i="1" s="1"/>
  <c r="AA12" i="1"/>
  <c r="AB12" i="1" s="1"/>
  <c r="AA14" i="1"/>
  <c r="AA15" i="1"/>
  <c r="AB15" i="1" s="1"/>
  <c r="AA16" i="1"/>
  <c r="AB16" i="1" s="1"/>
  <c r="AA17" i="1"/>
  <c r="AA18" i="1"/>
  <c r="AA20" i="1"/>
  <c r="AA21" i="1"/>
  <c r="AA22" i="1"/>
  <c r="AA23" i="1"/>
  <c r="AA8" i="1"/>
  <c r="D20" i="3"/>
  <c r="AB26" i="1" l="1"/>
  <c r="AB23" i="1"/>
  <c r="AB56" i="1"/>
  <c r="AB38" i="1"/>
  <c r="AB18" i="1"/>
  <c r="AB20" i="1"/>
  <c r="AB33" i="1"/>
  <c r="AB44" i="1"/>
  <c r="AB57" i="1"/>
  <c r="AB69" i="1"/>
  <c r="AB53" i="1"/>
  <c r="AA58" i="1"/>
  <c r="AB58" i="1" s="1"/>
  <c r="AB50" i="1"/>
  <c r="AB68" i="1"/>
  <c r="AB21" i="1"/>
  <c r="AB39" i="1"/>
  <c r="AB14" i="1"/>
  <c r="AB17" i="1"/>
  <c r="AB27" i="1"/>
  <c r="AB22" i="1"/>
  <c r="AB52" i="1"/>
  <c r="AA59" i="1"/>
  <c r="AB59" i="1" s="1"/>
  <c r="AB37" i="1"/>
  <c r="AB65" i="1"/>
  <c r="AB48" i="1"/>
  <c r="AB45" i="1"/>
  <c r="AB8" i="1"/>
  <c r="AB41" i="1"/>
  <c r="AB36" i="1"/>
</calcChain>
</file>

<file path=xl/sharedStrings.xml><?xml version="1.0" encoding="utf-8"?>
<sst xmlns="http://schemas.openxmlformats.org/spreadsheetml/2006/main" count="156" uniqueCount="114">
  <si>
    <t>Produto</t>
  </si>
  <si>
    <t>unidade</t>
  </si>
  <si>
    <t>Apucarana</t>
  </si>
  <si>
    <t>Campo Mourão</t>
  </si>
  <si>
    <t>Cascavel</t>
  </si>
  <si>
    <t xml:space="preserve">Cornélio Procópio </t>
  </si>
  <si>
    <t>Curitiba</t>
  </si>
  <si>
    <t>Francisco Beltrão</t>
  </si>
  <si>
    <t>Guarapuava</t>
  </si>
  <si>
    <t>Irati</t>
  </si>
  <si>
    <t>Ivaiporã</t>
  </si>
  <si>
    <t>Jacarezinho</t>
  </si>
  <si>
    <t>Laranjeiras</t>
  </si>
  <si>
    <t>Londrina</t>
  </si>
  <si>
    <t>Maringá</t>
  </si>
  <si>
    <t>Paranaguá</t>
  </si>
  <si>
    <t>Paranavaí</t>
  </si>
  <si>
    <t>Pato Branco</t>
  </si>
  <si>
    <t>Pitanga</t>
  </si>
  <si>
    <t>Ponta Grossa</t>
  </si>
  <si>
    <t>Toledo</t>
  </si>
  <si>
    <t>Umuarama</t>
  </si>
  <si>
    <t>União da Vitória</t>
  </si>
  <si>
    <t>Média Anterior</t>
  </si>
  <si>
    <t>Média Atual</t>
  </si>
  <si>
    <t>Variação</t>
  </si>
  <si>
    <t>R$/unid.</t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</si>
  <si>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camaldulensis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</si>
  <si>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dunnii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</si>
  <si>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grandis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</si>
  <si>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saligna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</si>
  <si>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viminalis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</si>
  <si>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benthamii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</si>
  <si>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urograndis</t>
    </r>
  </si>
  <si>
    <r>
      <rPr>
        <sz val="8"/>
        <color indexed="8"/>
        <rFont val="Calibri"/>
        <family val="2"/>
      </rPr>
      <t xml:space="preserve">MUDAS DE PINUS - </t>
    </r>
    <r>
      <rPr>
        <i/>
        <sz val="8"/>
        <color indexed="8"/>
        <rFont val="Calibri"/>
        <family val="2"/>
      </rPr>
      <t>Pinus elliottii</t>
    </r>
  </si>
  <si>
    <r>
      <rPr>
        <sz val="8"/>
        <color indexed="8"/>
        <rFont val="Calibri"/>
        <family val="2"/>
      </rPr>
      <t>MUDAS DE PINUS -</t>
    </r>
    <r>
      <rPr>
        <i/>
        <sz val="8"/>
        <color indexed="8"/>
        <rFont val="Calibri"/>
        <family val="2"/>
      </rPr>
      <t xml:space="preserve"> Pinus taeda</t>
    </r>
  </si>
  <si>
    <t>MUDAS DE PINUS - Tropicais</t>
  </si>
  <si>
    <t>Mudas Nativas (até 50 cm)</t>
  </si>
  <si>
    <r>
      <rPr>
        <sz val="8"/>
        <color indexed="8"/>
        <rFont val="Calibri"/>
        <family val="2"/>
      </rPr>
      <t xml:space="preserve">MUDAS DE ARAUCÁRIA - </t>
    </r>
    <r>
      <rPr>
        <i/>
        <sz val="8"/>
        <color indexed="8"/>
        <rFont val="Calibri"/>
        <family val="2"/>
      </rPr>
      <t>Araucaria angustifolia</t>
    </r>
  </si>
  <si>
    <r>
      <rPr>
        <sz val="8"/>
        <color indexed="8"/>
        <rFont val="Calibri"/>
        <family val="2"/>
      </rPr>
      <t xml:space="preserve">MUDAS DE PALMITO-JUÇARA - </t>
    </r>
    <r>
      <rPr>
        <i/>
        <sz val="8"/>
        <color indexed="8"/>
        <rFont val="Calibri"/>
        <family val="2"/>
      </rPr>
      <t>Euterpe edulis</t>
    </r>
  </si>
  <si>
    <r>
      <rPr>
        <sz val="8"/>
        <color indexed="8"/>
        <rFont val="Calibri"/>
        <family val="2"/>
      </rPr>
      <t>MUDAS DE PALMITO-PUPUNHA -</t>
    </r>
    <r>
      <rPr>
        <i/>
        <sz val="8"/>
        <color indexed="8"/>
        <rFont val="Calibri"/>
        <family val="2"/>
      </rPr>
      <t xml:space="preserve"> Bactris gasipaes</t>
    </r>
  </si>
  <si>
    <r>
      <rPr>
        <sz val="8"/>
        <color indexed="8"/>
        <rFont val="Calibri"/>
        <family val="2"/>
      </rPr>
      <t xml:space="preserve">MUDAS DE BRACATINGA COMUM - </t>
    </r>
    <r>
      <rPr>
        <i/>
        <sz val="8"/>
        <color indexed="8"/>
        <rFont val="Calibri"/>
        <family val="2"/>
      </rPr>
      <t>Mimosa scabrella</t>
    </r>
  </si>
  <si>
    <t>FOLHA DE ERVA-MATE NO PÉ</t>
  </si>
  <si>
    <t>R$/arroba</t>
  </si>
  <si>
    <t>FOLHA DE ERVA-MATE NA INDÚSTRIA</t>
  </si>
  <si>
    <t>R$/kg</t>
  </si>
  <si>
    <t xml:space="preserve">PALMITO </t>
  </si>
  <si>
    <t>SERINGUEIRA (LÁTEX)</t>
  </si>
  <si>
    <t>PINHÃO</t>
  </si>
  <si>
    <t>RESINA</t>
  </si>
  <si>
    <t>R$/m³</t>
  </si>
  <si>
    <t xml:space="preserve">TORAS DE EUCALIPTO EM PÉ - DIÂMETRO 18 - 25 cm </t>
  </si>
  <si>
    <t xml:space="preserve">TORAS DE EUCALIPTO EM PÉ - DIÂMETRO 25 – 35  cm </t>
  </si>
  <si>
    <t xml:space="preserve">TORAS DE EUCALIPTO EM PÉ - DIÂMETRO &gt; 35 cm </t>
  </si>
  <si>
    <t xml:space="preserve">TORAS DE PINUS EM PÉ - DIÂMETRO 18 – 25  cm </t>
  </si>
  <si>
    <t xml:space="preserve">TORAS DE PINUS EM PÉ - DIÂMETRO 25 - 35 cm </t>
  </si>
  <si>
    <t xml:space="preserve">TORAS DE PINUS EM PÉ - DIÂMETRO &gt; 35 cm </t>
  </si>
  <si>
    <t>R$/t</t>
  </si>
  <si>
    <t>ESPÉCIE</t>
  </si>
  <si>
    <t>ESTÉREO (st)</t>
  </si>
  <si>
    <t>METRO CÚBICO (m3)</t>
  </si>
  <si>
    <t>TONELADA (t)</t>
  </si>
  <si>
    <t>Eucalipto com casca</t>
  </si>
  <si>
    <t>Eucalipto sem casca</t>
  </si>
  <si>
    <t>Madeira para energia</t>
  </si>
  <si>
    <t>Maravalha (130 kg/m3)</t>
  </si>
  <si>
    <t>Exemplo. Preço do informante é 14,00 R$/m3, (14,00x1000)/130=107,69 R$/ton</t>
  </si>
  <si>
    <t>Fonte: Sociedade Brasileira de Silvicultura, 2009.</t>
  </si>
  <si>
    <t>Cavaco sujo</t>
  </si>
  <si>
    <t>Pinus</t>
  </si>
  <si>
    <t>Eucalyptus</t>
  </si>
  <si>
    <t>Média</t>
  </si>
  <si>
    <t>Massa específica aparente a granel (kg/m³)</t>
  </si>
  <si>
    <t>Fonte: Eleotério et al., 2017</t>
  </si>
  <si>
    <t>Mudas de essencias florestais nativas diversas</t>
  </si>
  <si>
    <t>Toras em Pé no Produtor para Serraria, Laminação, Processo e outros fins</t>
  </si>
  <si>
    <t>TORAS DE ARAUCÁRIA EM PÉ</t>
  </si>
  <si>
    <t xml:space="preserve">TORAS DE EUCALIPTO EM PÉ - DIÂMETRO &lt; 14 cm </t>
  </si>
  <si>
    <t xml:space="preserve">TORAS DE EUCALIPTO EM PÉ - DIÂMETRO 14 - 18 cm </t>
  </si>
  <si>
    <t xml:space="preserve">TORAS DE PINUS EM PÉ - DIÂMETRO &lt; 14 cm </t>
  </si>
  <si>
    <t>TORAS DE OUTRAS ESPÉCIES EM PÉ</t>
  </si>
  <si>
    <t>TORA PARA OUTRAS FINALIDADES (Por exemplo escoras para construção civil)</t>
  </si>
  <si>
    <t>LENHA POSTA NO CONSUMIDOR</t>
  </si>
  <si>
    <t>AEC 144 e 224</t>
  </si>
  <si>
    <t xml:space="preserve">TORAS DE PINUS EM PÉ - DIÂMETRO 14 – 18 cm </t>
  </si>
  <si>
    <t>DEPARTAMENTO DE ECONOMIA RURAL - DERAL</t>
  </si>
  <si>
    <t>SECRETARIA DE ESTADO DA AGRICULTURA E DO ABASTECIMENTO - SEAB</t>
  </si>
  <si>
    <t>PREÇOS DE PRODUTOS FLORESTAIS</t>
  </si>
  <si>
    <r>
      <t xml:space="preserve">MUDAS DE EUCALIPTO - </t>
    </r>
    <r>
      <rPr>
        <i/>
        <sz val="8"/>
        <color indexed="8"/>
        <rFont val="Calibri"/>
        <family val="2"/>
      </rPr>
      <t>Corymbia citriodora</t>
    </r>
  </si>
  <si>
    <t>Eucalyptus grandis</t>
  </si>
  <si>
    <t>Eucalyptus urograndis</t>
  </si>
  <si>
    <t>Produtos Florestais Não Madeireiros</t>
  </si>
  <si>
    <t>TORAS DE PINUS EM PÉ - média sortimentos Estado</t>
  </si>
  <si>
    <t>TORAS DE EUCALIPTO EM PÉ - média sortimentos Estado</t>
  </si>
  <si>
    <t>Mudas Plantio Comercial (produção clonal)</t>
  </si>
  <si>
    <t>Mudas Plantio Comercial (produção por sementes)</t>
  </si>
  <si>
    <r>
      <rPr>
        <i/>
        <sz val="10"/>
        <rFont val="Arial"/>
        <family val="2"/>
      </rPr>
      <t>Pinus</t>
    </r>
    <r>
      <rPr>
        <sz val="10"/>
        <rFont val="Arial"/>
        <family val="2"/>
      </rPr>
      <t xml:space="preserve"> sp. </t>
    </r>
    <r>
      <rPr>
        <sz val="9"/>
        <rFont val="Arial"/>
        <family val="2"/>
      </rPr>
      <t>com casca</t>
    </r>
  </si>
  <si>
    <t>tonelada (t)</t>
  </si>
  <si>
    <t>metro cúbico (m³)</t>
  </si>
  <si>
    <t>estéreo (st)</t>
  </si>
  <si>
    <t>Todos os custos relacionados a colheita (depreciação, salários+encargos+benefícios, combustível/lubrificantes, manutenção, administração direta, comercial, expedição) + Estradas para transporte de madeira, Custo da carga de madeira no caminhão. Guincho/Trator de apoio à saída dos caminhões.  Custos de todos os sistema cut-to-lenght (harvester+forwarder)  ou full-tree (Feller+Skidder+Processamento) + Motosserra+Guincho/acessórios.</t>
  </si>
  <si>
    <t>** Custos médios relacionados a colheita e carregamento - Estado:</t>
  </si>
  <si>
    <t>Custos médios relacionados a colheita e carregamento - Estado **</t>
  </si>
  <si>
    <t>TORA PARA PROCESSO (Inclui madeira para papel e celulose e para painéis reconstituídos) EM PÉ - em geral de 8 a 18 cm</t>
  </si>
  <si>
    <t>R$/cabeça</t>
  </si>
  <si>
    <t>H 144; H 13 e 158</t>
  </si>
  <si>
    <r>
      <t xml:space="preserve">MUDAS DE ERVA-MATE - </t>
    </r>
    <r>
      <rPr>
        <i/>
        <sz val="8"/>
        <color indexed="8"/>
        <rFont val="Calibri"/>
        <family val="2"/>
      </rPr>
      <t>llex paraguariensis</t>
    </r>
  </si>
  <si>
    <t>Eucalyptus saligna</t>
  </si>
  <si>
    <t>CAVACO LIMPO ONDE FOI PRODUZIDO (cavaco para processo - celulose e papel e painéis recontituídos)</t>
  </si>
  <si>
    <t>Cavacos</t>
  </si>
  <si>
    <t>CAVACO SUJO ONDE FOI PRODUZIDO (cavaco para energia)</t>
  </si>
  <si>
    <t>Cianorte</t>
  </si>
  <si>
    <t>Lenha</t>
  </si>
  <si>
    <t>Referência: agosto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</si>
</sst>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b/>
      <sz val="18"/>
      <color indexed="62"/>
      <name val="Cambria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medium">
        <color indexed="22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22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medium">
        <color indexed="22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9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2" fontId="2" fillId="0" borderId="0" xfId="0" applyNumberFormat="1" applyFont="1"/>
    <xf numFmtId="9" fontId="2" fillId="0" borderId="0" xfId="0" applyNumberFormat="1" applyFont="1"/>
    <xf numFmtId="2" fontId="6" fillId="2" borderId="2" xfId="0" applyNumberFormat="1" applyFont="1" applyFill="1" applyBorder="1" applyAlignment="1">
      <alignment horizontal="right" textRotation="90"/>
    </xf>
    <xf numFmtId="2" fontId="6" fillId="0" borderId="2" xfId="0" applyNumberFormat="1" applyFont="1" applyBorder="1" applyAlignment="1">
      <alignment horizontal="right" textRotation="90"/>
    </xf>
    <xf numFmtId="9" fontId="6" fillId="0" borderId="2" xfId="0" applyNumberFormat="1" applyFont="1" applyBorder="1" applyAlignment="1">
      <alignment horizontal="right" textRotation="90"/>
    </xf>
    <xf numFmtId="2" fontId="3" fillId="0" borderId="19" xfId="0" applyNumberFormat="1" applyFont="1" applyBorder="1" applyAlignment="1">
      <alignment horizontal="center" vertical="center" wrapText="1" shrinkToFit="1"/>
    </xf>
    <xf numFmtId="2" fontId="3" fillId="0" borderId="19" xfId="0" applyNumberFormat="1" applyFont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10" xfId="0" applyFont="1" applyBorder="1" applyAlignment="1">
      <alignment horizontal="center" vertical="center" shrinkToFit="1"/>
    </xf>
    <xf numFmtId="0" fontId="9" fillId="0" borderId="0" xfId="1" applyAlignment="1">
      <alignment vertical="center"/>
    </xf>
    <xf numFmtId="0" fontId="8" fillId="4" borderId="0" xfId="1" applyFont="1" applyFill="1" applyBorder="1" applyAlignment="1">
      <alignment vertical="center"/>
    </xf>
    <xf numFmtId="2" fontId="9" fillId="0" borderId="5" xfId="1" applyNumberFormat="1" applyBorder="1" applyAlignment="1">
      <alignment vertical="center"/>
    </xf>
    <xf numFmtId="2" fontId="9" fillId="0" borderId="6" xfId="1" applyNumberFormat="1" applyBorder="1" applyAlignment="1">
      <alignment vertical="center"/>
    </xf>
    <xf numFmtId="2" fontId="9" fillId="0" borderId="12" xfId="1" applyNumberFormat="1" applyBorder="1" applyAlignment="1">
      <alignment vertical="center"/>
    </xf>
    <xf numFmtId="2" fontId="9" fillId="0" borderId="13" xfId="1" applyNumberFormat="1" applyBorder="1" applyAlignment="1">
      <alignment vertical="center"/>
    </xf>
    <xf numFmtId="0" fontId="0" fillId="0" borderId="14" xfId="1" applyFont="1" applyBorder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0" fillId="0" borderId="0" xfId="1" applyFont="1" applyBorder="1" applyAlignment="1">
      <alignment vertical="center"/>
    </xf>
    <xf numFmtId="1" fontId="9" fillId="0" borderId="0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/>
    </xf>
    <xf numFmtId="0" fontId="9" fillId="0" borderId="20" xfId="1" applyBorder="1" applyAlignment="1">
      <alignment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Border="1" applyAlignment="1">
      <alignment horizontal="center" vertical="center"/>
    </xf>
    <xf numFmtId="2" fontId="9" fillId="0" borderId="21" xfId="1" applyNumberFormat="1" applyBorder="1" applyAlignment="1">
      <alignment horizontal="center" vertical="center"/>
    </xf>
    <xf numFmtId="0" fontId="8" fillId="0" borderId="20" xfId="1" applyFont="1" applyBorder="1" applyAlignment="1">
      <alignment vertical="center"/>
    </xf>
    <xf numFmtId="2" fontId="6" fillId="0" borderId="2" xfId="0" applyNumberFormat="1" applyFont="1" applyFill="1" applyBorder="1" applyAlignment="1">
      <alignment horizontal="right" textRotation="90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2" fontId="2" fillId="0" borderId="0" xfId="0" applyNumberFormat="1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left" vertical="center" wrapText="1" shrinkToFit="1"/>
    </xf>
    <xf numFmtId="2" fontId="2" fillId="0" borderId="5" xfId="0" applyNumberFormat="1" applyFont="1" applyFill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9" fontId="2" fillId="0" borderId="6" xfId="0" applyNumberFormat="1" applyFont="1" applyBorder="1" applyAlignment="1">
      <alignment vertical="center"/>
    </xf>
    <xf numFmtId="0" fontId="3" fillId="0" borderId="7" xfId="0" applyFont="1" applyFill="1" applyBorder="1" applyAlignment="1">
      <alignment horizontal="left" vertical="center" wrapText="1" shrinkToFit="1"/>
    </xf>
    <xf numFmtId="2" fontId="3" fillId="0" borderId="7" xfId="0" applyNumberFormat="1" applyFont="1" applyBorder="1" applyAlignment="1">
      <alignment horizontal="left" vertical="center" wrapText="1"/>
    </xf>
    <xf numFmtId="2" fontId="2" fillId="0" borderId="5" xfId="0" applyNumberFormat="1" applyFont="1" applyFill="1" applyBorder="1" applyAlignment="1">
      <alignment vertical="center" wrapText="1"/>
    </xf>
    <xf numFmtId="2" fontId="4" fillId="3" borderId="3" xfId="0" applyNumberFormat="1" applyFont="1" applyFill="1" applyBorder="1" applyAlignment="1">
      <alignment horizontal="left" vertical="center"/>
    </xf>
    <xf numFmtId="2" fontId="4" fillId="3" borderId="3" xfId="0" applyNumberFormat="1" applyFont="1" applyFill="1" applyBorder="1" applyAlignment="1">
      <alignment horizontal="left" vertical="center" wrapText="1"/>
    </xf>
    <xf numFmtId="2" fontId="3" fillId="0" borderId="4" xfId="0" applyNumberFormat="1" applyFont="1" applyBorder="1" applyAlignment="1">
      <alignment horizontal="left" vertical="center" wrapText="1" shrinkToFit="1"/>
    </xf>
    <xf numFmtId="2" fontId="3" fillId="0" borderId="8" xfId="0" applyNumberFormat="1" applyFont="1" applyBorder="1" applyAlignment="1">
      <alignment horizontal="left" vertical="center" wrapText="1" shrinkToFit="1"/>
    </xf>
    <xf numFmtId="2" fontId="4" fillId="3" borderId="0" xfId="0" applyNumberFormat="1" applyFont="1" applyFill="1" applyBorder="1" applyAlignment="1">
      <alignment horizontal="left" vertical="center" wrapText="1"/>
    </xf>
    <xf numFmtId="2" fontId="2" fillId="0" borderId="0" xfId="0" applyNumberFormat="1" applyFont="1" applyAlignment="1">
      <alignment vertical="center" wrapText="1"/>
    </xf>
    <xf numFmtId="2" fontId="3" fillId="0" borderId="7" xfId="0" applyNumberFormat="1" applyFont="1" applyBorder="1" applyAlignment="1">
      <alignment horizontal="left" vertical="center" wrapText="1" shrinkToFit="1"/>
    </xf>
    <xf numFmtId="2" fontId="3" fillId="0" borderId="0" xfId="0" applyNumberFormat="1" applyFont="1" applyBorder="1" applyAlignment="1">
      <alignment horizontal="left" vertical="center" wrapText="1" shrinkToFit="1"/>
    </xf>
    <xf numFmtId="2" fontId="2" fillId="0" borderId="6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shrinkToFit="1"/>
    </xf>
    <xf numFmtId="0" fontId="3" fillId="0" borderId="7" xfId="0" applyFont="1" applyFill="1" applyBorder="1" applyAlignment="1">
      <alignment horizontal="left" vertical="center" shrinkToFit="1"/>
    </xf>
    <xf numFmtId="9" fontId="2" fillId="0" borderId="0" xfId="0" applyNumberFormat="1" applyFont="1" applyBorder="1" applyAlignment="1">
      <alignment vertical="center"/>
    </xf>
    <xf numFmtId="2" fontId="3" fillId="0" borderId="4" xfId="0" applyNumberFormat="1" applyFont="1" applyBorder="1" applyAlignment="1">
      <alignment horizontal="left" vertical="center" shrinkToFit="1"/>
    </xf>
    <xf numFmtId="2" fontId="2" fillId="0" borderId="0" xfId="0" applyNumberFormat="1" applyFont="1" applyFill="1" applyBorder="1" applyAlignment="1">
      <alignment vertical="center"/>
    </xf>
    <xf numFmtId="2" fontId="2" fillId="0" borderId="0" xfId="0" applyNumberFormat="1" applyFont="1" applyBorder="1" applyAlignment="1">
      <alignment vertical="center"/>
    </xf>
    <xf numFmtId="0" fontId="3" fillId="0" borderId="11" xfId="0" applyFont="1" applyFill="1" applyBorder="1" applyAlignment="1">
      <alignment horizontal="left" vertical="center" shrinkToFit="1"/>
    </xf>
    <xf numFmtId="2" fontId="2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2" fontId="2" fillId="0" borderId="22" xfId="0" applyNumberFormat="1" applyFont="1" applyFill="1" applyBorder="1" applyAlignment="1">
      <alignment vertical="center"/>
    </xf>
    <xf numFmtId="2" fontId="2" fillId="0" borderId="23" xfId="0" applyNumberFormat="1" applyFont="1" applyFill="1" applyBorder="1" applyAlignment="1">
      <alignment vertical="center"/>
    </xf>
    <xf numFmtId="2" fontId="2" fillId="0" borderId="6" xfId="0" applyNumberFormat="1" applyFont="1" applyFill="1" applyBorder="1" applyAlignment="1">
      <alignment horizontal="center" vertical="center"/>
    </xf>
    <xf numFmtId="2" fontId="2" fillId="0" borderId="15" xfId="0" applyNumberFormat="1" applyFont="1" applyFill="1" applyBorder="1" applyAlignment="1">
      <alignment horizontal="center" vertical="center"/>
    </xf>
    <xf numFmtId="2" fontId="2" fillId="0" borderId="17" xfId="0" applyNumberFormat="1" applyFont="1" applyFill="1" applyBorder="1" applyAlignment="1">
      <alignment horizontal="center" vertical="center"/>
    </xf>
    <xf numFmtId="2" fontId="4" fillId="0" borderId="0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/>
    </xf>
    <xf numFmtId="0" fontId="0" fillId="0" borderId="14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</cellXfs>
  <cellStyles count="3">
    <cellStyle name="Normal" xfId="0" builtinId="0"/>
    <cellStyle name="Normal_COMPILAÇÃO_JULHO" xfId="1"/>
    <cellStyle name="Título 5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1"/>
  <sheetViews>
    <sheetView tabSelected="1" defaultGridColor="0" colorId="9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5" sqref="A5"/>
    </sheetView>
  </sheetViews>
  <sheetFormatPr defaultRowHeight="12.75" x14ac:dyDescent="0.2"/>
  <cols>
    <col min="1" max="1" width="47.140625" style="1" customWidth="1"/>
    <col min="2" max="2" width="9.7109375" style="1" bestFit="1" customWidth="1"/>
    <col min="3" max="3" width="7" style="1" customWidth="1"/>
    <col min="4" max="8" width="6" style="1" customWidth="1"/>
    <col min="9" max="14" width="7.5703125" style="1" customWidth="1"/>
    <col min="15" max="18" width="6.5703125" style="1" customWidth="1"/>
    <col min="19" max="19" width="7.140625" style="1" customWidth="1"/>
    <col min="20" max="20" width="6.5703125" style="1" customWidth="1"/>
    <col min="21" max="23" width="7.85546875" style="1" customWidth="1"/>
    <col min="24" max="24" width="7.42578125" style="1" customWidth="1"/>
    <col min="25" max="25" width="3.42578125" customWidth="1"/>
    <col min="26" max="26" width="7.5703125" style="1" customWidth="1"/>
    <col min="27" max="27" width="7.140625" style="1" customWidth="1"/>
    <col min="28" max="28" width="7.140625" style="2" customWidth="1"/>
    <col min="29" max="29" width="3.42578125" customWidth="1"/>
    <col min="30" max="30" width="11" customWidth="1"/>
  </cols>
  <sheetData>
    <row r="1" spans="1:29" s="11" customForma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Z1" s="12"/>
      <c r="AA1" s="12"/>
      <c r="AB1" s="13"/>
    </row>
    <row r="2" spans="1:29" s="11" customFormat="1" x14ac:dyDescent="0.2">
      <c r="A2" s="71" t="s">
        <v>86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spans="1:29" s="11" customFormat="1" x14ac:dyDescent="0.2">
      <c r="A3" s="71" t="s">
        <v>85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</row>
    <row r="4" spans="1:29" s="11" customFormat="1" x14ac:dyDescent="0.2">
      <c r="A4" s="72" t="s">
        <v>87</v>
      </c>
      <c r="B4" s="72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5"/>
      <c r="Z4" s="64"/>
      <c r="AA4" s="12"/>
      <c r="AB4" s="13"/>
    </row>
    <row r="5" spans="1:29" s="11" customFormat="1" x14ac:dyDescent="0.2">
      <c r="A5" s="14" t="s">
        <v>113</v>
      </c>
      <c r="B5" s="14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65"/>
      <c r="Z5" s="38"/>
      <c r="AA5" s="12"/>
      <c r="AB5" s="13"/>
    </row>
    <row r="6" spans="1:29" ht="91.5" customHeight="1" x14ac:dyDescent="0.2">
      <c r="A6" s="36" t="s">
        <v>0</v>
      </c>
      <c r="B6" s="37" t="s">
        <v>1</v>
      </c>
      <c r="C6" s="3" t="s">
        <v>2</v>
      </c>
      <c r="D6" s="3" t="s">
        <v>3</v>
      </c>
      <c r="E6" s="3" t="s">
        <v>4</v>
      </c>
      <c r="F6" s="3" t="s">
        <v>111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Z6" s="35" t="s">
        <v>23</v>
      </c>
      <c r="AA6" s="4" t="s">
        <v>24</v>
      </c>
      <c r="AB6" s="5" t="s">
        <v>25</v>
      </c>
    </row>
    <row r="7" spans="1:29" ht="13.5" thickBot="1" x14ac:dyDescent="0.25">
      <c r="A7" s="47" t="s">
        <v>95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11"/>
      <c r="Z7" s="48"/>
      <c r="AA7" s="48"/>
      <c r="AB7" s="48"/>
      <c r="AC7" s="11"/>
    </row>
    <row r="8" spans="1:29" ht="12.75" customHeight="1" x14ac:dyDescent="0.2">
      <c r="A8" s="49" t="s">
        <v>88</v>
      </c>
      <c r="B8" s="6" t="s">
        <v>26</v>
      </c>
      <c r="C8" s="41"/>
      <c r="D8" s="41">
        <v>2</v>
      </c>
      <c r="E8" s="41"/>
      <c r="F8" s="41">
        <v>0.8</v>
      </c>
      <c r="G8" s="41">
        <v>0.85</v>
      </c>
      <c r="H8" s="41"/>
      <c r="I8" s="41"/>
      <c r="J8" s="41"/>
      <c r="K8" s="41"/>
      <c r="L8" s="41">
        <v>1.6</v>
      </c>
      <c r="M8" s="41"/>
      <c r="N8" s="41"/>
      <c r="O8" s="41"/>
      <c r="P8" s="41">
        <v>1.1000000000000001</v>
      </c>
      <c r="Q8" s="41"/>
      <c r="R8" s="41">
        <v>1.2</v>
      </c>
      <c r="S8" s="41">
        <v>1</v>
      </c>
      <c r="T8" s="41"/>
      <c r="U8" s="41">
        <v>1.2</v>
      </c>
      <c r="V8" s="41"/>
      <c r="W8" s="41">
        <v>1.5</v>
      </c>
      <c r="X8" s="41"/>
      <c r="Y8" s="11"/>
      <c r="Z8" s="41">
        <v>1.1375000000000002</v>
      </c>
      <c r="AA8" s="42">
        <f>AVERAGE(C8:X8)</f>
        <v>1.25</v>
      </c>
      <c r="AB8" s="43">
        <f t="shared" ref="AB8:AB18" si="0">AA8/Z8-1</f>
        <v>9.8901098901098772E-2</v>
      </c>
      <c r="AC8" s="11"/>
    </row>
    <row r="9" spans="1:29" ht="12.75" customHeight="1" x14ac:dyDescent="0.2">
      <c r="A9" s="49" t="s">
        <v>27</v>
      </c>
      <c r="B9" s="6" t="s">
        <v>26</v>
      </c>
      <c r="C9" s="41"/>
      <c r="D9" s="41"/>
      <c r="E9" s="41"/>
      <c r="F9" s="41"/>
      <c r="G9" s="41">
        <v>0.85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>
        <v>1.2</v>
      </c>
      <c r="S9" s="41"/>
      <c r="T9" s="41"/>
      <c r="U9" s="41">
        <v>1.3</v>
      </c>
      <c r="V9" s="41"/>
      <c r="W9" s="41"/>
      <c r="X9" s="41"/>
      <c r="Y9" s="11"/>
      <c r="Z9" s="41">
        <v>1.0999999999999999</v>
      </c>
      <c r="AA9" s="42">
        <f t="shared" ref="AA9:AA23" si="1">AVERAGE(C9:X9)</f>
        <v>1.1166666666666665</v>
      </c>
      <c r="AB9" s="43">
        <f t="shared" si="0"/>
        <v>1.5151515151515138E-2</v>
      </c>
      <c r="AC9" s="11"/>
    </row>
    <row r="10" spans="1:29" ht="12.75" customHeight="1" x14ac:dyDescent="0.2">
      <c r="A10" s="49" t="s">
        <v>28</v>
      </c>
      <c r="B10" s="6" t="s">
        <v>26</v>
      </c>
      <c r="C10" s="41"/>
      <c r="D10" s="41">
        <v>2</v>
      </c>
      <c r="E10" s="41"/>
      <c r="F10" s="41"/>
      <c r="G10" s="41">
        <v>0.85</v>
      </c>
      <c r="H10" s="41">
        <v>1.08</v>
      </c>
      <c r="I10" s="41"/>
      <c r="J10" s="41">
        <v>1.1000000000000001</v>
      </c>
      <c r="K10" s="41">
        <v>1</v>
      </c>
      <c r="L10" s="41"/>
      <c r="M10" s="41"/>
      <c r="N10" s="41"/>
      <c r="O10" s="41"/>
      <c r="P10" s="41"/>
      <c r="Q10" s="41"/>
      <c r="R10" s="41">
        <v>1.2</v>
      </c>
      <c r="S10" s="41">
        <v>1</v>
      </c>
      <c r="T10" s="41"/>
      <c r="U10" s="41">
        <v>1.2</v>
      </c>
      <c r="V10" s="41">
        <v>0.9</v>
      </c>
      <c r="W10" s="41"/>
      <c r="X10" s="41">
        <v>1.1000000000000001</v>
      </c>
      <c r="Y10" s="11"/>
      <c r="Z10" s="41">
        <v>1.0366666666666666</v>
      </c>
      <c r="AA10" s="42">
        <f t="shared" si="1"/>
        <v>1.143</v>
      </c>
      <c r="AB10" s="43">
        <f t="shared" si="0"/>
        <v>0.10257234726688114</v>
      </c>
      <c r="AC10" s="11"/>
    </row>
    <row r="11" spans="1:29" ht="12.75" customHeight="1" x14ac:dyDescent="0.2">
      <c r="A11" s="49" t="s">
        <v>29</v>
      </c>
      <c r="B11" s="6" t="s">
        <v>26</v>
      </c>
      <c r="C11" s="41"/>
      <c r="D11" s="41"/>
      <c r="E11" s="41"/>
      <c r="F11" s="41">
        <v>0.8</v>
      </c>
      <c r="G11" s="41">
        <v>0.85</v>
      </c>
      <c r="H11" s="41">
        <v>1.1000000000000001</v>
      </c>
      <c r="I11" s="41"/>
      <c r="J11" s="41"/>
      <c r="K11" s="41"/>
      <c r="L11" s="41">
        <v>1.5</v>
      </c>
      <c r="M11" s="41">
        <v>1.2</v>
      </c>
      <c r="N11" s="41"/>
      <c r="O11" s="41">
        <v>2</v>
      </c>
      <c r="P11" s="41"/>
      <c r="Q11" s="41"/>
      <c r="R11" s="41">
        <v>1.2</v>
      </c>
      <c r="S11" s="41">
        <v>1</v>
      </c>
      <c r="T11" s="41"/>
      <c r="U11" s="41">
        <v>1.2</v>
      </c>
      <c r="V11" s="41"/>
      <c r="W11" s="41">
        <v>1.5</v>
      </c>
      <c r="X11" s="41">
        <v>1.1000000000000001</v>
      </c>
      <c r="Y11" s="11"/>
      <c r="Z11" s="41">
        <v>1.1390909090909089</v>
      </c>
      <c r="AA11" s="42">
        <f t="shared" si="1"/>
        <v>1.2227272727272727</v>
      </c>
      <c r="AB11" s="43">
        <f t="shared" si="0"/>
        <v>7.3423782920989611E-2</v>
      </c>
      <c r="AC11" s="11"/>
    </row>
    <row r="12" spans="1:29" ht="12.75" customHeight="1" x14ac:dyDescent="0.2">
      <c r="A12" s="49" t="s">
        <v>30</v>
      </c>
      <c r="B12" s="6" t="s">
        <v>26</v>
      </c>
      <c r="C12" s="41"/>
      <c r="D12" s="41"/>
      <c r="E12" s="41"/>
      <c r="F12" s="41"/>
      <c r="G12" s="41">
        <v>0.74</v>
      </c>
      <c r="H12" s="41">
        <v>1.1000000000000001</v>
      </c>
      <c r="I12" s="41"/>
      <c r="J12" s="41"/>
      <c r="K12" s="41"/>
      <c r="L12" s="41">
        <v>1.6</v>
      </c>
      <c r="M12" s="41">
        <v>1.2</v>
      </c>
      <c r="N12" s="41"/>
      <c r="O12" s="41"/>
      <c r="P12" s="41"/>
      <c r="Q12" s="41"/>
      <c r="R12" s="41"/>
      <c r="S12" s="41"/>
      <c r="T12" s="41"/>
      <c r="U12" s="41">
        <v>1.2</v>
      </c>
      <c r="V12" s="41"/>
      <c r="W12" s="41"/>
      <c r="X12" s="41">
        <v>1.1000000000000001</v>
      </c>
      <c r="Y12" s="11"/>
      <c r="Z12" s="41">
        <v>1.1583333333333334</v>
      </c>
      <c r="AA12" s="42">
        <f t="shared" si="1"/>
        <v>1.156666666666667</v>
      </c>
      <c r="AB12" s="43">
        <f t="shared" si="0"/>
        <v>-1.4388489208631006E-3</v>
      </c>
      <c r="AC12" s="11"/>
    </row>
    <row r="13" spans="1:29" ht="12.75" customHeight="1" x14ac:dyDescent="0.2">
      <c r="A13" s="49" t="s">
        <v>31</v>
      </c>
      <c r="B13" s="6" t="s">
        <v>26</v>
      </c>
      <c r="C13" s="41"/>
      <c r="D13" s="41"/>
      <c r="E13" s="41"/>
      <c r="F13" s="41"/>
      <c r="G13" s="41"/>
      <c r="H13" s="41"/>
      <c r="I13" s="41"/>
      <c r="J13" s="12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11"/>
      <c r="Z13" s="41"/>
      <c r="AA13" s="42"/>
      <c r="AB13" s="43"/>
      <c r="AC13" s="11"/>
    </row>
    <row r="14" spans="1:29" ht="12.75" customHeight="1" x14ac:dyDescent="0.2">
      <c r="A14" s="49" t="s">
        <v>32</v>
      </c>
      <c r="B14" s="6" t="s">
        <v>26</v>
      </c>
      <c r="C14" s="41"/>
      <c r="D14" s="41"/>
      <c r="E14" s="41"/>
      <c r="F14" s="41"/>
      <c r="G14" s="41"/>
      <c r="H14" s="41">
        <v>1.1499999999999999</v>
      </c>
      <c r="I14" s="41"/>
      <c r="J14" s="41">
        <v>1.1499999999999999</v>
      </c>
      <c r="K14" s="41"/>
      <c r="L14" s="41"/>
      <c r="M14" s="41"/>
      <c r="N14" s="41"/>
      <c r="O14" s="41"/>
      <c r="P14" s="41"/>
      <c r="Q14" s="41"/>
      <c r="R14" s="41">
        <v>1.2</v>
      </c>
      <c r="S14" s="41">
        <v>1</v>
      </c>
      <c r="T14" s="41"/>
      <c r="U14" s="41">
        <v>1.2</v>
      </c>
      <c r="V14" s="41"/>
      <c r="W14" s="41"/>
      <c r="X14" s="41">
        <v>1.1000000000000001</v>
      </c>
      <c r="Y14" s="11"/>
      <c r="Z14" s="41">
        <v>1.1083333333333334</v>
      </c>
      <c r="AA14" s="42">
        <f t="shared" si="1"/>
        <v>1.1333333333333335</v>
      </c>
      <c r="AB14" s="43">
        <f t="shared" si="0"/>
        <v>2.2556390977443774E-2</v>
      </c>
      <c r="AC14" s="11"/>
    </row>
    <row r="15" spans="1:29" ht="12.75" customHeight="1" x14ac:dyDescent="0.2">
      <c r="A15" s="49" t="s">
        <v>33</v>
      </c>
      <c r="B15" s="6" t="s">
        <v>26</v>
      </c>
      <c r="C15" s="41"/>
      <c r="D15" s="41">
        <v>2</v>
      </c>
      <c r="E15" s="41"/>
      <c r="F15" s="41"/>
      <c r="G15" s="41"/>
      <c r="H15" s="41"/>
      <c r="I15" s="41"/>
      <c r="J15" s="12"/>
      <c r="K15" s="41"/>
      <c r="L15" s="41">
        <v>1.2</v>
      </c>
      <c r="M15" s="41">
        <v>1.2</v>
      </c>
      <c r="N15" s="41"/>
      <c r="O15" s="41"/>
      <c r="P15" s="41"/>
      <c r="Q15" s="41"/>
      <c r="R15" s="41">
        <v>1.2</v>
      </c>
      <c r="S15" s="41"/>
      <c r="T15" s="41"/>
      <c r="U15" s="41">
        <v>1.2</v>
      </c>
      <c r="V15" s="41"/>
      <c r="W15" s="41">
        <v>1.6</v>
      </c>
      <c r="X15" s="41"/>
      <c r="Y15" s="11"/>
      <c r="Z15" s="40">
        <v>1.2399999999999998</v>
      </c>
      <c r="AA15" s="42">
        <f t="shared" si="1"/>
        <v>1.4000000000000001</v>
      </c>
      <c r="AB15" s="43">
        <f t="shared" si="0"/>
        <v>0.12903225806451646</v>
      </c>
      <c r="AC15" s="11"/>
    </row>
    <row r="16" spans="1:29" ht="12.75" customHeight="1" x14ac:dyDescent="0.2">
      <c r="A16" s="49" t="s">
        <v>34</v>
      </c>
      <c r="B16" s="6" t="s">
        <v>26</v>
      </c>
      <c r="C16" s="41"/>
      <c r="D16" s="41"/>
      <c r="E16" s="41"/>
      <c r="F16" s="41"/>
      <c r="G16" s="41">
        <v>0.95</v>
      </c>
      <c r="H16" s="41">
        <v>1.2</v>
      </c>
      <c r="I16" s="41"/>
      <c r="J16" s="41">
        <v>1.1599999999999999</v>
      </c>
      <c r="K16" s="41">
        <v>1</v>
      </c>
      <c r="L16" s="41">
        <v>1.2</v>
      </c>
      <c r="M16" s="41"/>
      <c r="N16" s="41"/>
      <c r="O16" s="41"/>
      <c r="P16" s="41"/>
      <c r="Q16" s="41"/>
      <c r="R16" s="41"/>
      <c r="S16" s="41">
        <v>1.1499999999999999</v>
      </c>
      <c r="T16" s="41"/>
      <c r="U16" s="41">
        <v>1.2</v>
      </c>
      <c r="V16" s="41"/>
      <c r="W16" s="41"/>
      <c r="X16" s="40">
        <v>1.05</v>
      </c>
      <c r="Y16" s="11"/>
      <c r="Z16" s="41">
        <v>1.0875000000000001</v>
      </c>
      <c r="AA16" s="42">
        <f t="shared" si="1"/>
        <v>1.11375</v>
      </c>
      <c r="AB16" s="43">
        <f t="shared" si="0"/>
        <v>2.4137931034482696E-2</v>
      </c>
      <c r="AC16" s="11"/>
    </row>
    <row r="17" spans="1:29" ht="12.75" customHeight="1" x14ac:dyDescent="0.2">
      <c r="A17" s="49" t="s">
        <v>35</v>
      </c>
      <c r="B17" s="6" t="s">
        <v>26</v>
      </c>
      <c r="C17" s="41"/>
      <c r="D17" s="41"/>
      <c r="E17" s="41"/>
      <c r="F17" s="41"/>
      <c r="G17" s="41"/>
      <c r="H17" s="41">
        <v>1.32</v>
      </c>
      <c r="I17" s="40"/>
      <c r="J17" s="41">
        <v>1.19</v>
      </c>
      <c r="K17" s="41">
        <v>1</v>
      </c>
      <c r="L17" s="41">
        <v>1.2</v>
      </c>
      <c r="M17" s="41">
        <v>1.3</v>
      </c>
      <c r="N17" s="41"/>
      <c r="O17" s="41"/>
      <c r="P17" s="41"/>
      <c r="Q17" s="41"/>
      <c r="R17" s="41"/>
      <c r="S17" s="41">
        <v>1.3</v>
      </c>
      <c r="T17" s="41"/>
      <c r="U17" s="41">
        <v>1.2</v>
      </c>
      <c r="V17" s="41"/>
      <c r="W17" s="41"/>
      <c r="X17" s="41">
        <v>1.2</v>
      </c>
      <c r="Y17" s="11"/>
      <c r="Z17" s="41">
        <v>1.1924999999999999</v>
      </c>
      <c r="AA17" s="42">
        <f t="shared" si="1"/>
        <v>1.2137499999999999</v>
      </c>
      <c r="AB17" s="43">
        <f t="shared" si="0"/>
        <v>1.7819706498951815E-2</v>
      </c>
      <c r="AC17" s="11"/>
    </row>
    <row r="18" spans="1:29" ht="12.75" customHeight="1" x14ac:dyDescent="0.2">
      <c r="A18" s="49" t="s">
        <v>36</v>
      </c>
      <c r="B18" s="6" t="s">
        <v>26</v>
      </c>
      <c r="C18" s="41"/>
      <c r="D18" s="41"/>
      <c r="E18" s="41"/>
      <c r="F18" s="40"/>
      <c r="G18" s="40">
        <v>0.95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11"/>
      <c r="Z18" s="41">
        <v>0.9</v>
      </c>
      <c r="AA18" s="42">
        <f t="shared" si="1"/>
        <v>0.95</v>
      </c>
      <c r="AB18" s="43">
        <f t="shared" si="0"/>
        <v>5.555555555555558E-2</v>
      </c>
      <c r="AC18" s="11"/>
    </row>
    <row r="19" spans="1:29" ht="12.75" customHeight="1" x14ac:dyDescent="0.2">
      <c r="A19" s="49" t="s">
        <v>38</v>
      </c>
      <c r="B19" s="6" t="s">
        <v>26</v>
      </c>
      <c r="C19" s="41"/>
      <c r="D19" s="41"/>
      <c r="E19" s="41"/>
      <c r="F19" s="40"/>
      <c r="G19" s="40">
        <v>2.2999999999999998</v>
      </c>
      <c r="H19" s="41"/>
      <c r="I19" s="41"/>
      <c r="J19" s="41">
        <v>3.15</v>
      </c>
      <c r="K19" s="41"/>
      <c r="L19" s="41">
        <v>5</v>
      </c>
      <c r="M19" s="41"/>
      <c r="N19" s="41"/>
      <c r="O19" s="41"/>
      <c r="P19" s="41"/>
      <c r="Q19" s="41"/>
      <c r="R19" s="41"/>
      <c r="S19" s="41">
        <v>5</v>
      </c>
      <c r="T19" s="41"/>
      <c r="U19" s="41">
        <v>2.5</v>
      </c>
      <c r="V19" s="41"/>
      <c r="W19" s="41"/>
      <c r="X19" s="41">
        <v>3.8</v>
      </c>
      <c r="Y19" s="11"/>
      <c r="Z19" s="41">
        <v>3.3000000000000003</v>
      </c>
      <c r="AA19" s="42">
        <f t="shared" si="1"/>
        <v>3.625</v>
      </c>
      <c r="AB19" s="43">
        <f>AA19/Z19-1</f>
        <v>9.8484848484848397E-2</v>
      </c>
      <c r="AC19" s="11"/>
    </row>
    <row r="20" spans="1:29" ht="12.75" customHeight="1" x14ac:dyDescent="0.2">
      <c r="A20" s="49" t="s">
        <v>106</v>
      </c>
      <c r="B20" s="6" t="s">
        <v>26</v>
      </c>
      <c r="C20" s="41"/>
      <c r="D20" s="41"/>
      <c r="E20" s="41"/>
      <c r="F20" s="40"/>
      <c r="G20" s="40"/>
      <c r="H20" s="41"/>
      <c r="I20" s="41"/>
      <c r="J20" s="41">
        <v>1.6</v>
      </c>
      <c r="K20" s="41">
        <v>1.5</v>
      </c>
      <c r="L20" s="41"/>
      <c r="M20" s="41"/>
      <c r="N20" s="41"/>
      <c r="O20" s="41"/>
      <c r="P20" s="41"/>
      <c r="Q20" s="41"/>
      <c r="R20" s="41"/>
      <c r="S20" s="41">
        <v>1.25</v>
      </c>
      <c r="T20" s="41">
        <v>1.75</v>
      </c>
      <c r="U20" s="41">
        <v>1.45</v>
      </c>
      <c r="V20" s="41"/>
      <c r="W20" s="41"/>
      <c r="X20" s="41">
        <v>1.1000000000000001</v>
      </c>
      <c r="Y20" s="11"/>
      <c r="Z20" s="41">
        <v>1.4583333333333333</v>
      </c>
      <c r="AA20" s="42">
        <f t="shared" si="1"/>
        <v>1.4416666666666667</v>
      </c>
      <c r="AB20" s="43">
        <f>AA20/Z20-1</f>
        <v>-1.1428571428571344E-2</v>
      </c>
      <c r="AC20" s="11"/>
    </row>
    <row r="21" spans="1:29" ht="12.75" customHeight="1" x14ac:dyDescent="0.2">
      <c r="A21" s="49" t="s">
        <v>39</v>
      </c>
      <c r="B21" s="6" t="s">
        <v>26</v>
      </c>
      <c r="C21" s="41"/>
      <c r="D21" s="41"/>
      <c r="E21" s="41"/>
      <c r="F21" s="40"/>
      <c r="G21" s="40">
        <v>2.85</v>
      </c>
      <c r="H21" s="41"/>
      <c r="I21" s="41"/>
      <c r="J21" s="41"/>
      <c r="K21" s="41"/>
      <c r="L21" s="41">
        <v>10</v>
      </c>
      <c r="M21" s="41"/>
      <c r="N21" s="41"/>
      <c r="O21" s="41">
        <v>5</v>
      </c>
      <c r="P21" s="41">
        <v>6</v>
      </c>
      <c r="Q21" s="41"/>
      <c r="R21" s="41"/>
      <c r="S21" s="41"/>
      <c r="T21" s="41"/>
      <c r="U21" s="41"/>
      <c r="V21" s="41"/>
      <c r="W21" s="41">
        <v>3</v>
      </c>
      <c r="X21" s="41"/>
      <c r="Y21" s="11"/>
      <c r="Z21" s="41">
        <v>5.36</v>
      </c>
      <c r="AA21" s="42">
        <f t="shared" si="1"/>
        <v>5.37</v>
      </c>
      <c r="AB21" s="43">
        <f>AA21/Z21-1</f>
        <v>1.8656716417910779E-3</v>
      </c>
      <c r="AC21" s="11"/>
    </row>
    <row r="22" spans="1:29" ht="12.75" customHeight="1" x14ac:dyDescent="0.2">
      <c r="A22" s="49" t="s">
        <v>40</v>
      </c>
      <c r="B22" s="6" t="s">
        <v>26</v>
      </c>
      <c r="C22" s="41"/>
      <c r="D22" s="41"/>
      <c r="E22" s="41"/>
      <c r="F22" s="40">
        <v>3</v>
      </c>
      <c r="G22" s="40">
        <v>2.74</v>
      </c>
      <c r="H22" s="41"/>
      <c r="I22" s="41"/>
      <c r="J22" s="41"/>
      <c r="K22" s="41"/>
      <c r="L22" s="41"/>
      <c r="M22" s="41"/>
      <c r="N22" s="41"/>
      <c r="O22" s="41">
        <v>5</v>
      </c>
      <c r="P22" s="41">
        <v>7</v>
      </c>
      <c r="Q22" s="41">
        <v>1.7</v>
      </c>
      <c r="R22" s="41"/>
      <c r="S22" s="41"/>
      <c r="T22" s="41"/>
      <c r="U22" s="41"/>
      <c r="V22" s="41"/>
      <c r="W22" s="41">
        <v>4</v>
      </c>
      <c r="X22" s="41"/>
      <c r="Y22" s="11"/>
      <c r="Z22" s="41">
        <v>4.34</v>
      </c>
      <c r="AA22" s="42">
        <f t="shared" si="1"/>
        <v>3.9066666666666667</v>
      </c>
      <c r="AB22" s="43">
        <f>AA22/Z22-1</f>
        <v>-9.9846390168970789E-2</v>
      </c>
      <c r="AC22" s="11"/>
    </row>
    <row r="23" spans="1:29" ht="12.75" customHeight="1" x14ac:dyDescent="0.2">
      <c r="A23" s="49" t="s">
        <v>41</v>
      </c>
      <c r="B23" s="6" t="s">
        <v>26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>
        <v>3.6</v>
      </c>
      <c r="Y23" s="11"/>
      <c r="Z23" s="41">
        <v>14.3</v>
      </c>
      <c r="AA23" s="42">
        <f t="shared" si="1"/>
        <v>3.6</v>
      </c>
      <c r="AB23" s="43">
        <f>AA23/Z23-1</f>
        <v>-0.74825174825174834</v>
      </c>
      <c r="AC23" s="11"/>
    </row>
    <row r="24" spans="1:29" ht="12.75" customHeight="1" x14ac:dyDescent="0.2">
      <c r="A24" s="50"/>
      <c r="B24" s="8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11"/>
      <c r="Z24" s="41"/>
      <c r="AA24" s="42"/>
      <c r="AB24" s="43"/>
      <c r="AC24" s="11"/>
    </row>
    <row r="25" spans="1:29" ht="12.75" customHeight="1" thickBot="1" x14ac:dyDescent="0.25">
      <c r="A25" s="48" t="s">
        <v>94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11"/>
      <c r="Z25" s="48"/>
      <c r="AA25" s="48"/>
      <c r="AB25" s="48"/>
      <c r="AC25" s="11"/>
    </row>
    <row r="26" spans="1:29" ht="12.75" customHeight="1" x14ac:dyDescent="0.2">
      <c r="A26" s="49" t="s">
        <v>83</v>
      </c>
      <c r="B26" s="6" t="s">
        <v>26</v>
      </c>
      <c r="C26" s="41"/>
      <c r="D26" s="41"/>
      <c r="E26" s="41">
        <v>1.3</v>
      </c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>
        <v>1.38</v>
      </c>
      <c r="Q26" s="41"/>
      <c r="R26" s="41"/>
      <c r="S26" s="41"/>
      <c r="T26" s="41"/>
      <c r="U26" s="41"/>
      <c r="V26" s="41"/>
      <c r="W26" s="41"/>
      <c r="X26" s="41"/>
      <c r="Y26" s="11"/>
      <c r="Z26" s="41">
        <v>1.3399999999999999</v>
      </c>
      <c r="AA26" s="42">
        <f>AVERAGE(C26:X26)</f>
        <v>1.3399999999999999</v>
      </c>
      <c r="AB26" s="43">
        <f>AA26/Z26-1</f>
        <v>0</v>
      </c>
      <c r="AC26" s="11"/>
    </row>
    <row r="27" spans="1:29" ht="12.75" customHeight="1" x14ac:dyDescent="0.2">
      <c r="A27" s="49" t="s">
        <v>105</v>
      </c>
      <c r="B27" s="6" t="s">
        <v>26</v>
      </c>
      <c r="C27" s="41"/>
      <c r="D27" s="41">
        <v>1</v>
      </c>
      <c r="E27" s="41">
        <v>1.4</v>
      </c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>
        <v>1.38</v>
      </c>
      <c r="Q27" s="41"/>
      <c r="R27" s="41"/>
      <c r="S27" s="41"/>
      <c r="T27" s="41"/>
      <c r="U27" s="41"/>
      <c r="V27" s="41"/>
      <c r="W27" s="41"/>
      <c r="X27" s="41"/>
      <c r="Y27" s="11"/>
      <c r="Z27" s="41">
        <v>1.29</v>
      </c>
      <c r="AA27" s="42">
        <f t="shared" ref="AA27:AA30" si="2">AVERAGE(C27:X27)</f>
        <v>1.26</v>
      </c>
      <c r="AB27" s="43">
        <f t="shared" ref="AB27:AB30" si="3">AA27/Z27-1</f>
        <v>-2.3255813953488413E-2</v>
      </c>
      <c r="AC27" s="11"/>
    </row>
    <row r="28" spans="1:29" ht="12.75" customHeight="1" x14ac:dyDescent="0.2">
      <c r="A28" s="49" t="s">
        <v>89</v>
      </c>
      <c r="B28" s="6" t="s">
        <v>26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>
        <v>1.3</v>
      </c>
      <c r="V28" s="41"/>
      <c r="W28" s="41"/>
      <c r="X28" s="41"/>
      <c r="Y28" s="11"/>
      <c r="Z28" s="41">
        <v>1.2</v>
      </c>
      <c r="AA28" s="42">
        <f t="shared" si="2"/>
        <v>1.3</v>
      </c>
      <c r="AB28" s="43">
        <f t="shared" si="3"/>
        <v>8.3333333333333481E-2</v>
      </c>
      <c r="AC28" s="11"/>
    </row>
    <row r="29" spans="1:29" ht="12.75" customHeight="1" x14ac:dyDescent="0.2">
      <c r="A29" s="49" t="s">
        <v>107</v>
      </c>
      <c r="B29" s="6" t="s">
        <v>26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>
        <v>1.2</v>
      </c>
      <c r="V29" s="41"/>
      <c r="W29" s="41"/>
      <c r="X29" s="41"/>
      <c r="Y29" s="11"/>
      <c r="Z29" s="41">
        <v>1.2</v>
      </c>
      <c r="AA29" s="42">
        <f t="shared" si="2"/>
        <v>1.2</v>
      </c>
      <c r="AB29" s="43">
        <f t="shared" si="3"/>
        <v>0</v>
      </c>
      <c r="AC29" s="11"/>
    </row>
    <row r="30" spans="1:29" ht="12.75" customHeight="1" x14ac:dyDescent="0.2">
      <c r="A30" s="49" t="s">
        <v>90</v>
      </c>
      <c r="B30" s="6" t="s">
        <v>26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>
        <v>1.2</v>
      </c>
      <c r="V30" s="41"/>
      <c r="W30" s="41"/>
      <c r="X30" s="41"/>
      <c r="Y30" s="11"/>
      <c r="Z30" s="41">
        <v>1.2</v>
      </c>
      <c r="AA30" s="42">
        <f t="shared" si="2"/>
        <v>1.2</v>
      </c>
      <c r="AB30" s="43">
        <f t="shared" si="3"/>
        <v>0</v>
      </c>
      <c r="AC30" s="11"/>
    </row>
    <row r="31" spans="1:29" ht="12.75" customHeight="1" x14ac:dyDescent="0.2">
      <c r="A31" s="52"/>
      <c r="B31" s="5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11"/>
      <c r="Z31" s="41"/>
      <c r="AA31" s="42"/>
      <c r="AB31" s="43"/>
      <c r="AC31" s="11"/>
    </row>
    <row r="32" spans="1:29" ht="14.65" customHeight="1" thickBot="1" x14ac:dyDescent="0.25">
      <c r="A32" s="48" t="s">
        <v>37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11"/>
      <c r="Z32" s="48"/>
      <c r="AA32" s="48"/>
      <c r="AB32" s="48"/>
      <c r="AC32" s="11"/>
    </row>
    <row r="33" spans="1:29" ht="12.75" customHeight="1" x14ac:dyDescent="0.2">
      <c r="A33" s="49" t="s">
        <v>74</v>
      </c>
      <c r="B33" s="6" t="s">
        <v>26</v>
      </c>
      <c r="C33" s="41">
        <v>5</v>
      </c>
      <c r="D33" s="41"/>
      <c r="E33" s="41"/>
      <c r="F33" s="40">
        <v>10</v>
      </c>
      <c r="G33" s="41">
        <v>6.3</v>
      </c>
      <c r="H33" s="41"/>
      <c r="I33" s="41"/>
      <c r="J33" s="41">
        <v>4.2</v>
      </c>
      <c r="K33" s="41"/>
      <c r="L33" s="41">
        <v>5</v>
      </c>
      <c r="M33" s="41"/>
      <c r="N33" s="41"/>
      <c r="O33" s="41">
        <v>5</v>
      </c>
      <c r="P33" s="41">
        <v>7</v>
      </c>
      <c r="Q33" s="41"/>
      <c r="R33" s="41"/>
      <c r="S33" s="41"/>
      <c r="T33" s="41"/>
      <c r="U33" s="41"/>
      <c r="V33" s="41"/>
      <c r="W33" s="41"/>
      <c r="X33" s="41">
        <v>5</v>
      </c>
      <c r="Y33" s="11"/>
      <c r="Z33" s="41">
        <v>5.0357142857142856</v>
      </c>
      <c r="AA33" s="42">
        <f>AVERAGE(C33:X33)</f>
        <v>5.9375</v>
      </c>
      <c r="AB33" s="43">
        <f>AA33/Z33-1</f>
        <v>0.17907801418439728</v>
      </c>
      <c r="AC33" s="11"/>
    </row>
    <row r="34" spans="1:29" ht="12.75" customHeight="1" x14ac:dyDescent="0.2">
      <c r="A34" s="53"/>
      <c r="B34" s="54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11"/>
      <c r="Z34" s="41"/>
      <c r="AA34" s="42"/>
      <c r="AB34" s="43"/>
      <c r="AC34" s="11"/>
    </row>
    <row r="35" spans="1:29" ht="14.65" customHeight="1" thickBot="1" x14ac:dyDescent="0.25">
      <c r="A35" s="48" t="s">
        <v>91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11"/>
      <c r="Z35" s="48"/>
      <c r="AA35" s="48"/>
      <c r="AB35" s="48"/>
      <c r="AC35" s="11"/>
    </row>
    <row r="36" spans="1:29" ht="12.75" customHeight="1" x14ac:dyDescent="0.2">
      <c r="A36" s="49" t="s">
        <v>42</v>
      </c>
      <c r="B36" s="6" t="s">
        <v>43</v>
      </c>
      <c r="C36" s="41"/>
      <c r="D36" s="41"/>
      <c r="E36" s="41"/>
      <c r="F36" s="41"/>
      <c r="G36" s="41"/>
      <c r="H36" s="41">
        <v>15</v>
      </c>
      <c r="I36" s="41"/>
      <c r="J36" s="41">
        <v>12.5</v>
      </c>
      <c r="K36" s="41">
        <v>12</v>
      </c>
      <c r="L36" s="41"/>
      <c r="M36" s="41"/>
      <c r="N36" s="41">
        <v>10</v>
      </c>
      <c r="O36" s="41"/>
      <c r="P36" s="41"/>
      <c r="Q36" s="41"/>
      <c r="R36" s="41"/>
      <c r="S36" s="41"/>
      <c r="T36" s="41">
        <v>15</v>
      </c>
      <c r="U36" s="41"/>
      <c r="V36" s="41"/>
      <c r="W36" s="41"/>
      <c r="X36" s="40">
        <v>12.5</v>
      </c>
      <c r="Y36" s="11"/>
      <c r="Z36" s="41">
        <v>13</v>
      </c>
      <c r="AA36" s="42">
        <f>AVERAGE(C36:X36)</f>
        <v>12.833333333333334</v>
      </c>
      <c r="AB36" s="43">
        <f t="shared" ref="AB36:AB41" si="4">AA36/Z36-1</f>
        <v>-1.2820512820512775E-2</v>
      </c>
      <c r="AC36" s="11"/>
    </row>
    <row r="37" spans="1:29" ht="12.75" customHeight="1" x14ac:dyDescent="0.2">
      <c r="A37" s="49" t="s">
        <v>44</v>
      </c>
      <c r="B37" s="6" t="s">
        <v>43</v>
      </c>
      <c r="C37" s="41"/>
      <c r="D37" s="41"/>
      <c r="E37" s="41"/>
      <c r="F37" s="41"/>
      <c r="G37" s="41"/>
      <c r="H37" s="41"/>
      <c r="I37" s="41">
        <v>19</v>
      </c>
      <c r="J37" s="41">
        <v>18.5</v>
      </c>
      <c r="K37" s="41">
        <v>19.5</v>
      </c>
      <c r="L37" s="41"/>
      <c r="M37" s="41"/>
      <c r="N37" s="41">
        <v>18</v>
      </c>
      <c r="O37" s="41"/>
      <c r="P37" s="41"/>
      <c r="Q37" s="41"/>
      <c r="R37" s="41"/>
      <c r="S37" s="41"/>
      <c r="T37" s="41">
        <v>21</v>
      </c>
      <c r="U37" s="41">
        <v>16</v>
      </c>
      <c r="V37" s="41"/>
      <c r="W37" s="41"/>
      <c r="X37" s="41">
        <v>18</v>
      </c>
      <c r="Y37" s="11"/>
      <c r="Z37" s="41">
        <v>19.014285714285712</v>
      </c>
      <c r="AA37" s="42">
        <f t="shared" ref="AA37:AA41" si="5">AVERAGE(C37:X37)</f>
        <v>18.571428571428573</v>
      </c>
      <c r="AB37" s="43">
        <f t="shared" si="4"/>
        <v>-2.3290758827948732E-2</v>
      </c>
      <c r="AC37" s="11"/>
    </row>
    <row r="38" spans="1:29" ht="12.75" customHeight="1" x14ac:dyDescent="0.2">
      <c r="A38" s="49" t="s">
        <v>46</v>
      </c>
      <c r="B38" s="6" t="s">
        <v>104</v>
      </c>
      <c r="C38" s="41"/>
      <c r="D38" s="41"/>
      <c r="E38" s="41"/>
      <c r="F38" s="41">
        <v>5</v>
      </c>
      <c r="G38" s="41">
        <v>4.3</v>
      </c>
      <c r="H38" s="41"/>
      <c r="I38" s="41"/>
      <c r="J38" s="41"/>
      <c r="K38" s="41"/>
      <c r="L38" s="41"/>
      <c r="M38" s="41"/>
      <c r="N38" s="41"/>
      <c r="O38" s="41"/>
      <c r="P38" s="41"/>
      <c r="Q38" s="41">
        <v>3.15</v>
      </c>
      <c r="R38" s="41"/>
      <c r="S38" s="41"/>
      <c r="T38" s="41"/>
      <c r="U38" s="41"/>
      <c r="V38" s="41"/>
      <c r="W38" s="40">
        <v>7.2</v>
      </c>
      <c r="X38" s="41"/>
      <c r="Y38" s="11"/>
      <c r="Z38" s="40">
        <v>5.333333333333333</v>
      </c>
      <c r="AA38" s="42">
        <f t="shared" si="5"/>
        <v>4.9125000000000005</v>
      </c>
      <c r="AB38" s="43">
        <f t="shared" si="4"/>
        <v>-7.8906249999999845E-2</v>
      </c>
      <c r="AC38" s="11"/>
    </row>
    <row r="39" spans="1:29" ht="12.75" customHeight="1" x14ac:dyDescent="0.2">
      <c r="A39" s="49" t="s">
        <v>47</v>
      </c>
      <c r="B39" s="6" t="s">
        <v>45</v>
      </c>
      <c r="C39" s="41"/>
      <c r="D39" s="41"/>
      <c r="E39" s="40"/>
      <c r="F39" s="40"/>
      <c r="G39" s="40"/>
      <c r="H39" s="40"/>
      <c r="I39" s="41"/>
      <c r="J39" s="41"/>
      <c r="K39" s="41"/>
      <c r="L39" s="41"/>
      <c r="M39" s="41"/>
      <c r="N39" s="41"/>
      <c r="O39" s="41"/>
      <c r="P39" s="41">
        <v>4.5</v>
      </c>
      <c r="Q39" s="41"/>
      <c r="R39" s="40">
        <v>6</v>
      </c>
      <c r="S39" s="41"/>
      <c r="T39" s="41"/>
      <c r="U39" s="41"/>
      <c r="V39" s="41"/>
      <c r="W39" s="41"/>
      <c r="X39" s="41"/>
      <c r="Y39" s="11"/>
      <c r="Z39" s="40">
        <v>5.35</v>
      </c>
      <c r="AA39" s="42">
        <f t="shared" si="5"/>
        <v>5.25</v>
      </c>
      <c r="AB39" s="43">
        <f t="shared" si="4"/>
        <v>-1.869158878504662E-2</v>
      </c>
      <c r="AC39" s="11"/>
    </row>
    <row r="40" spans="1:29" ht="12.75" customHeight="1" x14ac:dyDescent="0.2">
      <c r="A40" s="49" t="s">
        <v>48</v>
      </c>
      <c r="B40" s="6" t="s">
        <v>45</v>
      </c>
      <c r="C40" s="41"/>
      <c r="D40" s="41"/>
      <c r="E40" s="66"/>
      <c r="F40" s="66"/>
      <c r="G40" s="40"/>
      <c r="H40" s="40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11"/>
      <c r="Z40" s="40">
        <v>8.0299999999999994</v>
      </c>
      <c r="AA40" s="42"/>
      <c r="AB40" s="43"/>
      <c r="AC40" s="11"/>
    </row>
    <row r="41" spans="1:29" ht="12.75" customHeight="1" x14ac:dyDescent="0.2">
      <c r="A41" s="49" t="s">
        <v>49</v>
      </c>
      <c r="B41" s="6" t="s">
        <v>45</v>
      </c>
      <c r="C41" s="40"/>
      <c r="D41" s="55"/>
      <c r="E41" s="67"/>
      <c r="F41" s="67"/>
      <c r="G41" s="40"/>
      <c r="H41" s="40">
        <v>4.42</v>
      </c>
      <c r="I41" s="41"/>
      <c r="J41" s="40"/>
      <c r="K41" s="40">
        <v>4.5999999999999996</v>
      </c>
      <c r="L41" s="40"/>
      <c r="M41" s="40"/>
      <c r="N41" s="40">
        <v>4.3</v>
      </c>
      <c r="O41" s="41"/>
      <c r="P41" s="41"/>
      <c r="Q41" s="41"/>
      <c r="R41" s="41"/>
      <c r="S41" s="41"/>
      <c r="T41" s="41"/>
      <c r="U41" s="41">
        <v>4.59</v>
      </c>
      <c r="V41" s="41"/>
      <c r="W41" s="41"/>
      <c r="X41" s="41"/>
      <c r="Y41" s="11"/>
      <c r="Z41" s="40">
        <v>4.3975</v>
      </c>
      <c r="AA41" s="42">
        <f t="shared" si="5"/>
        <v>4.4775</v>
      </c>
      <c r="AB41" s="43">
        <f t="shared" si="4"/>
        <v>1.8192154633314361E-2</v>
      </c>
      <c r="AC41" s="11"/>
    </row>
    <row r="42" spans="1:29" ht="12.75" customHeight="1" x14ac:dyDescent="0.2">
      <c r="A42" s="49"/>
      <c r="B42" s="54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11"/>
      <c r="Z42" s="41"/>
      <c r="AA42" s="42"/>
      <c r="AB42" s="43"/>
      <c r="AC42" s="11"/>
    </row>
    <row r="43" spans="1:29" ht="14.65" customHeight="1" thickBot="1" x14ac:dyDescent="0.25">
      <c r="A43" s="56" t="s">
        <v>75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11"/>
      <c r="Z43" s="48"/>
      <c r="AA43" s="48"/>
      <c r="AB43" s="48"/>
      <c r="AC43" s="11"/>
    </row>
    <row r="44" spans="1:29" ht="12.75" customHeight="1" x14ac:dyDescent="0.2">
      <c r="A44" s="49" t="s">
        <v>76</v>
      </c>
      <c r="B44" s="6" t="s">
        <v>50</v>
      </c>
      <c r="C44" s="41"/>
      <c r="D44" s="40"/>
      <c r="E44" s="41"/>
      <c r="F44" s="41"/>
      <c r="G44" s="41"/>
      <c r="H44" s="41"/>
      <c r="I44" s="41"/>
      <c r="J44" s="41">
        <v>470</v>
      </c>
      <c r="K44" s="41">
        <v>400</v>
      </c>
      <c r="L44" s="40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>
        <v>385</v>
      </c>
      <c r="Y44" s="11"/>
      <c r="Z44" s="41">
        <v>402.5</v>
      </c>
      <c r="AA44" s="42">
        <f>AVERAGE(C44:X44)</f>
        <v>418.33333333333331</v>
      </c>
      <c r="AB44" s="43">
        <f t="shared" ref="AB44:AB60" si="6">AA44/Z44-1</f>
        <v>3.9337474120082705E-2</v>
      </c>
      <c r="AC44" s="11"/>
    </row>
    <row r="45" spans="1:29" ht="12.75" customHeight="1" x14ac:dyDescent="0.2">
      <c r="A45" s="57" t="s">
        <v>77</v>
      </c>
      <c r="B45" s="6" t="s">
        <v>50</v>
      </c>
      <c r="C45" s="40">
        <v>75.333333333333329</v>
      </c>
      <c r="D45" s="40">
        <v>59</v>
      </c>
      <c r="E45" s="40"/>
      <c r="F45" s="40"/>
      <c r="G45" s="40">
        <v>43</v>
      </c>
      <c r="H45" s="40">
        <v>55</v>
      </c>
      <c r="I45" s="40"/>
      <c r="J45" s="40">
        <v>52.9</v>
      </c>
      <c r="K45" s="40"/>
      <c r="L45" s="40">
        <v>55</v>
      </c>
      <c r="M45" s="40"/>
      <c r="N45" s="40"/>
      <c r="O45" s="41"/>
      <c r="P45" s="41"/>
      <c r="Q45" s="41"/>
      <c r="R45" s="41"/>
      <c r="S45" s="40">
        <v>50</v>
      </c>
      <c r="T45" s="41"/>
      <c r="U45" s="40">
        <v>97.826086956521749</v>
      </c>
      <c r="V45" s="41"/>
      <c r="W45" s="41"/>
      <c r="X45" s="40">
        <v>46.5</v>
      </c>
      <c r="Y45" s="11"/>
      <c r="Z45" s="41">
        <v>59.322774327122147</v>
      </c>
      <c r="AA45" s="42">
        <f t="shared" ref="AA45:AA57" si="7">AVERAGE(C45:X45)</f>
        <v>59.39549114331723</v>
      </c>
      <c r="AB45" s="43">
        <f t="shared" si="6"/>
        <v>1.22578245909577E-3</v>
      </c>
      <c r="AC45" s="11"/>
    </row>
    <row r="46" spans="1:29" ht="12.75" customHeight="1" x14ac:dyDescent="0.2">
      <c r="A46" s="57" t="s">
        <v>78</v>
      </c>
      <c r="B46" s="6" t="s">
        <v>50</v>
      </c>
      <c r="C46" s="40">
        <v>83.333333333333329</v>
      </c>
      <c r="D46" s="40">
        <v>62</v>
      </c>
      <c r="E46" s="40"/>
      <c r="F46" s="40"/>
      <c r="G46" s="40">
        <v>55</v>
      </c>
      <c r="H46" s="40">
        <v>60.04</v>
      </c>
      <c r="I46" s="40">
        <v>58</v>
      </c>
      <c r="J46" s="40">
        <v>66.8</v>
      </c>
      <c r="K46" s="40">
        <v>85</v>
      </c>
      <c r="L46" s="40">
        <v>75</v>
      </c>
      <c r="M46" s="40"/>
      <c r="N46" s="40"/>
      <c r="O46" s="41"/>
      <c r="P46" s="41"/>
      <c r="Q46" s="41"/>
      <c r="R46" s="41"/>
      <c r="S46" s="40">
        <v>50</v>
      </c>
      <c r="T46" s="41"/>
      <c r="U46" s="40">
        <v>98.547826086956533</v>
      </c>
      <c r="V46" s="41"/>
      <c r="W46" s="41"/>
      <c r="X46" s="41">
        <v>52.3</v>
      </c>
      <c r="Y46" s="11"/>
      <c r="Z46" s="41">
        <v>71.01128824476649</v>
      </c>
      <c r="AA46" s="42">
        <f t="shared" si="7"/>
        <v>67.820105401844543</v>
      </c>
      <c r="AB46" s="43">
        <f t="shared" si="6"/>
        <v>-4.4939092386584556E-2</v>
      </c>
      <c r="AC46" s="11"/>
    </row>
    <row r="47" spans="1:29" ht="12.75" customHeight="1" x14ac:dyDescent="0.2">
      <c r="A47" s="49" t="s">
        <v>51</v>
      </c>
      <c r="B47" s="6" t="s">
        <v>50</v>
      </c>
      <c r="C47" s="40">
        <v>92</v>
      </c>
      <c r="D47" s="40"/>
      <c r="E47" s="40">
        <v>191.3</v>
      </c>
      <c r="F47" s="40"/>
      <c r="G47" s="40">
        <v>116</v>
      </c>
      <c r="H47" s="40">
        <v>88.15</v>
      </c>
      <c r="I47" s="40"/>
      <c r="J47" s="40">
        <v>109.3</v>
      </c>
      <c r="K47" s="40">
        <v>105</v>
      </c>
      <c r="L47" s="40">
        <v>165</v>
      </c>
      <c r="M47" s="40"/>
      <c r="N47" s="40"/>
      <c r="O47" s="40"/>
      <c r="P47" s="40"/>
      <c r="Q47" s="40"/>
      <c r="R47" s="40">
        <v>155</v>
      </c>
      <c r="S47" s="40">
        <v>60</v>
      </c>
      <c r="T47" s="40">
        <v>110</v>
      </c>
      <c r="U47" s="40">
        <v>124.63478260869567</v>
      </c>
      <c r="V47" s="41"/>
      <c r="W47" s="41">
        <v>145</v>
      </c>
      <c r="X47" s="41">
        <v>55.5</v>
      </c>
      <c r="Y47" s="11"/>
      <c r="Z47" s="41">
        <v>116.98045707915274</v>
      </c>
      <c r="AA47" s="42">
        <f t="shared" si="7"/>
        <v>116.68344481605352</v>
      </c>
      <c r="AB47" s="43">
        <f t="shared" si="6"/>
        <v>-2.5389904477656211E-3</v>
      </c>
      <c r="AC47" s="11"/>
    </row>
    <row r="48" spans="1:29" ht="12.75" customHeight="1" x14ac:dyDescent="0.2">
      <c r="A48" s="49" t="s">
        <v>52</v>
      </c>
      <c r="B48" s="6" t="s">
        <v>50</v>
      </c>
      <c r="C48" s="40">
        <v>128.66666666666666</v>
      </c>
      <c r="D48" s="40"/>
      <c r="E48" s="40">
        <v>217.39</v>
      </c>
      <c r="F48" s="40">
        <v>139</v>
      </c>
      <c r="G48" s="40">
        <v>142</v>
      </c>
      <c r="H48" s="40">
        <v>113.88</v>
      </c>
      <c r="I48" s="40">
        <v>142</v>
      </c>
      <c r="J48" s="40">
        <v>142</v>
      </c>
      <c r="K48" s="40">
        <v>115</v>
      </c>
      <c r="L48" s="40">
        <v>190</v>
      </c>
      <c r="M48" s="40">
        <v>240</v>
      </c>
      <c r="N48" s="40">
        <v>110</v>
      </c>
      <c r="O48" s="40">
        <v>240</v>
      </c>
      <c r="P48" s="40">
        <v>161</v>
      </c>
      <c r="Q48" s="40"/>
      <c r="R48" s="40">
        <v>185</v>
      </c>
      <c r="S48" s="40">
        <v>80</v>
      </c>
      <c r="T48" s="40">
        <v>150</v>
      </c>
      <c r="U48" s="40">
        <v>150</v>
      </c>
      <c r="V48" s="41"/>
      <c r="W48" s="41">
        <v>180</v>
      </c>
      <c r="X48" s="41">
        <v>80</v>
      </c>
      <c r="Y48" s="11"/>
      <c r="Z48" s="41">
        <v>152.38871270247228</v>
      </c>
      <c r="AA48" s="42">
        <f t="shared" si="7"/>
        <v>152.9440350877193</v>
      </c>
      <c r="AB48" s="43">
        <f t="shared" si="6"/>
        <v>3.6441175688073368E-3</v>
      </c>
      <c r="AC48" s="11"/>
    </row>
    <row r="49" spans="1:29" ht="12.75" customHeight="1" x14ac:dyDescent="0.2">
      <c r="A49" s="49" t="s">
        <v>53</v>
      </c>
      <c r="B49" s="6" t="s">
        <v>50</v>
      </c>
      <c r="C49" s="40">
        <v>157</v>
      </c>
      <c r="D49" s="40"/>
      <c r="E49" s="40"/>
      <c r="F49" s="40">
        <v>141</v>
      </c>
      <c r="G49" s="40">
        <v>183</v>
      </c>
      <c r="H49" s="40">
        <v>149.15</v>
      </c>
      <c r="I49" s="40">
        <v>155</v>
      </c>
      <c r="J49" s="40">
        <v>170.5</v>
      </c>
      <c r="K49" s="40"/>
      <c r="L49" s="40">
        <v>200</v>
      </c>
      <c r="M49" s="40">
        <v>250</v>
      </c>
      <c r="N49" s="40">
        <v>110</v>
      </c>
      <c r="O49" s="40"/>
      <c r="P49" s="40">
        <v>185</v>
      </c>
      <c r="Q49" s="40"/>
      <c r="R49" s="40">
        <v>215</v>
      </c>
      <c r="S49" s="40"/>
      <c r="T49" s="40">
        <v>200</v>
      </c>
      <c r="U49" s="40">
        <v>199.34782608695653</v>
      </c>
      <c r="V49" s="40"/>
      <c r="W49" s="41">
        <v>205</v>
      </c>
      <c r="X49" s="40">
        <v>118</v>
      </c>
      <c r="Y49" s="11"/>
      <c r="Z49" s="41">
        <v>178.51957636566328</v>
      </c>
      <c r="AA49" s="42">
        <f t="shared" si="7"/>
        <v>175.86652173913043</v>
      </c>
      <c r="AB49" s="43">
        <f t="shared" si="6"/>
        <v>-1.4861421254431906E-2</v>
      </c>
      <c r="AC49" s="11"/>
    </row>
    <row r="50" spans="1:29" ht="12.75" customHeight="1" x14ac:dyDescent="0.2">
      <c r="A50" s="49" t="s">
        <v>79</v>
      </c>
      <c r="B50" s="6" t="s">
        <v>50</v>
      </c>
      <c r="C50" s="40">
        <v>83.333333333333329</v>
      </c>
      <c r="D50" s="40">
        <v>61</v>
      </c>
      <c r="E50" s="40"/>
      <c r="F50" s="40"/>
      <c r="G50" s="40"/>
      <c r="H50" s="40">
        <v>52.5</v>
      </c>
      <c r="I50" s="40"/>
      <c r="J50" s="40">
        <v>66.400000000000006</v>
      </c>
      <c r="K50" s="40">
        <v>60</v>
      </c>
      <c r="L50" s="40">
        <v>65</v>
      </c>
      <c r="M50" s="40"/>
      <c r="N50" s="40">
        <v>50</v>
      </c>
      <c r="O50" s="40"/>
      <c r="P50" s="40"/>
      <c r="Q50" s="40"/>
      <c r="R50" s="40"/>
      <c r="S50" s="40">
        <v>50.9</v>
      </c>
      <c r="T50" s="40"/>
      <c r="U50" s="40">
        <v>110.66</v>
      </c>
      <c r="V50" s="40"/>
      <c r="W50" s="41"/>
      <c r="X50" s="40">
        <v>60.6</v>
      </c>
      <c r="Y50" s="11"/>
      <c r="Z50" s="41">
        <v>63.000370370370369</v>
      </c>
      <c r="AA50" s="42">
        <f t="shared" si="7"/>
        <v>66.039333333333332</v>
      </c>
      <c r="AB50" s="43">
        <f t="shared" si="6"/>
        <v>4.8237223767056081E-2</v>
      </c>
      <c r="AC50" s="11"/>
    </row>
    <row r="51" spans="1:29" ht="12.75" customHeight="1" x14ac:dyDescent="0.2">
      <c r="A51" s="49" t="s">
        <v>84</v>
      </c>
      <c r="B51" s="6" t="s">
        <v>50</v>
      </c>
      <c r="C51" s="40">
        <v>100.66666666666667</v>
      </c>
      <c r="D51" s="40"/>
      <c r="E51" s="40"/>
      <c r="F51" s="40"/>
      <c r="G51" s="40"/>
      <c r="H51" s="40">
        <v>103.06</v>
      </c>
      <c r="I51" s="40">
        <v>96</v>
      </c>
      <c r="J51" s="40">
        <v>121.7</v>
      </c>
      <c r="K51" s="40">
        <v>150</v>
      </c>
      <c r="L51" s="40">
        <v>120</v>
      </c>
      <c r="M51" s="40"/>
      <c r="N51" s="40">
        <v>120</v>
      </c>
      <c r="O51" s="40"/>
      <c r="P51" s="40"/>
      <c r="Q51" s="40"/>
      <c r="R51" s="40"/>
      <c r="S51" s="40">
        <v>98.5</v>
      </c>
      <c r="T51" s="40">
        <v>110</v>
      </c>
      <c r="U51" s="40">
        <v>136.38999999999999</v>
      </c>
      <c r="V51" s="40"/>
      <c r="W51" s="40"/>
      <c r="X51" s="40">
        <v>105.5</v>
      </c>
      <c r="Y51" s="11"/>
      <c r="Z51" s="41">
        <v>114.19484848484849</v>
      </c>
      <c r="AA51" s="42">
        <f t="shared" si="7"/>
        <v>114.71060606060605</v>
      </c>
      <c r="AB51" s="43">
        <f t="shared" si="6"/>
        <v>4.5164697234656437E-3</v>
      </c>
      <c r="AC51" s="11"/>
    </row>
    <row r="52" spans="1:29" ht="12.75" customHeight="1" x14ac:dyDescent="0.2">
      <c r="A52" s="49" t="s">
        <v>54</v>
      </c>
      <c r="B52" s="6" t="s">
        <v>50</v>
      </c>
      <c r="C52" s="40"/>
      <c r="D52" s="40"/>
      <c r="E52" s="40"/>
      <c r="F52" s="40"/>
      <c r="G52" s="40"/>
      <c r="H52" s="40">
        <v>168.03</v>
      </c>
      <c r="I52" s="40">
        <v>185</v>
      </c>
      <c r="J52" s="40">
        <v>194.9</v>
      </c>
      <c r="K52" s="40">
        <v>206</v>
      </c>
      <c r="L52" s="40">
        <v>190</v>
      </c>
      <c r="M52" s="40"/>
      <c r="N52" s="40">
        <v>270</v>
      </c>
      <c r="O52" s="40"/>
      <c r="P52" s="40"/>
      <c r="Q52" s="40"/>
      <c r="R52" s="40"/>
      <c r="S52" s="40">
        <v>200</v>
      </c>
      <c r="T52" s="40">
        <v>200</v>
      </c>
      <c r="U52" s="40">
        <v>177.14</v>
      </c>
      <c r="V52" s="40"/>
      <c r="W52" s="40"/>
      <c r="X52" s="40">
        <v>142</v>
      </c>
      <c r="Y52" s="11"/>
      <c r="Z52" s="41">
        <v>194.989</v>
      </c>
      <c r="AA52" s="42">
        <f t="shared" si="7"/>
        <v>193.30699999999996</v>
      </c>
      <c r="AB52" s="43">
        <f t="shared" si="6"/>
        <v>-8.6261276277125321E-3</v>
      </c>
      <c r="AC52" s="11"/>
    </row>
    <row r="53" spans="1:29" ht="12.75" customHeight="1" x14ac:dyDescent="0.2">
      <c r="A53" s="49" t="s">
        <v>55</v>
      </c>
      <c r="B53" s="6" t="s">
        <v>50</v>
      </c>
      <c r="C53" s="40"/>
      <c r="D53" s="40"/>
      <c r="E53" s="40"/>
      <c r="F53" s="40"/>
      <c r="G53" s="40"/>
      <c r="H53" s="40">
        <v>241.14</v>
      </c>
      <c r="I53" s="40">
        <v>274</v>
      </c>
      <c r="J53" s="40">
        <v>284.10000000000002</v>
      </c>
      <c r="K53" s="40">
        <v>315</v>
      </c>
      <c r="L53" s="40">
        <v>290</v>
      </c>
      <c r="M53" s="40">
        <v>370</v>
      </c>
      <c r="N53" s="40">
        <v>320</v>
      </c>
      <c r="O53" s="40"/>
      <c r="P53" s="40"/>
      <c r="Q53" s="40"/>
      <c r="R53" s="40"/>
      <c r="S53" s="40">
        <v>288</v>
      </c>
      <c r="T53" s="40">
        <v>290</v>
      </c>
      <c r="U53" s="40">
        <v>265.38</v>
      </c>
      <c r="V53" s="40"/>
      <c r="W53" s="41"/>
      <c r="X53" s="40">
        <v>185</v>
      </c>
      <c r="Y53" s="11"/>
      <c r="Z53" s="41">
        <v>285.37727272727267</v>
      </c>
      <c r="AA53" s="42">
        <f t="shared" si="7"/>
        <v>283.87454545454545</v>
      </c>
      <c r="AB53" s="43">
        <f t="shared" si="6"/>
        <v>-5.2657566538710787E-3</v>
      </c>
      <c r="AC53" s="11"/>
    </row>
    <row r="54" spans="1:29" ht="12.75" customHeight="1" x14ac:dyDescent="0.2">
      <c r="A54" s="49" t="s">
        <v>56</v>
      </c>
      <c r="B54" s="6" t="s">
        <v>50</v>
      </c>
      <c r="C54" s="40"/>
      <c r="D54" s="40"/>
      <c r="E54" s="40"/>
      <c r="F54" s="40"/>
      <c r="G54" s="40"/>
      <c r="H54" s="40">
        <v>374.73</v>
      </c>
      <c r="I54" s="40"/>
      <c r="J54" s="40">
        <v>365.2</v>
      </c>
      <c r="K54" s="40">
        <v>404</v>
      </c>
      <c r="L54" s="40">
        <v>390</v>
      </c>
      <c r="M54" s="40">
        <v>430</v>
      </c>
      <c r="N54" s="40">
        <v>360</v>
      </c>
      <c r="O54" s="40"/>
      <c r="P54" s="40"/>
      <c r="Q54" s="40"/>
      <c r="R54" s="40"/>
      <c r="S54" s="40">
        <v>350</v>
      </c>
      <c r="T54" s="40">
        <v>360</v>
      </c>
      <c r="U54" s="40">
        <v>375</v>
      </c>
      <c r="V54" s="40"/>
      <c r="W54" s="41"/>
      <c r="X54" s="40">
        <v>270</v>
      </c>
      <c r="Y54" s="11"/>
      <c r="Z54" s="41">
        <v>374.17700000000002</v>
      </c>
      <c r="AA54" s="42">
        <f t="shared" si="7"/>
        <v>367.89300000000003</v>
      </c>
      <c r="AB54" s="43">
        <f t="shared" si="6"/>
        <v>-1.6794190984480539E-2</v>
      </c>
      <c r="AC54" s="11"/>
    </row>
    <row r="55" spans="1:29" s="11" customFormat="1" ht="22.5" x14ac:dyDescent="0.2">
      <c r="A55" s="44" t="s">
        <v>103</v>
      </c>
      <c r="B55" s="6" t="s">
        <v>50</v>
      </c>
      <c r="C55" s="40">
        <v>95</v>
      </c>
      <c r="D55" s="40"/>
      <c r="E55" s="40"/>
      <c r="F55" s="40"/>
      <c r="G55" s="40">
        <v>87</v>
      </c>
      <c r="H55" s="40">
        <v>95</v>
      </c>
      <c r="I55" s="40"/>
      <c r="J55" s="40">
        <v>116</v>
      </c>
      <c r="K55" s="40">
        <v>91</v>
      </c>
      <c r="L55" s="40">
        <v>80</v>
      </c>
      <c r="M55" s="40"/>
      <c r="N55" s="40"/>
      <c r="O55" s="40"/>
      <c r="P55" s="40"/>
      <c r="Q55" s="40"/>
      <c r="R55" s="40"/>
      <c r="S55" s="40">
        <v>60</v>
      </c>
      <c r="T55" s="40"/>
      <c r="U55" s="40">
        <v>128.4</v>
      </c>
      <c r="V55" s="40"/>
      <c r="W55" s="41"/>
      <c r="X55" s="40">
        <v>90</v>
      </c>
      <c r="Z55" s="40">
        <v>91.694999999999993</v>
      </c>
      <c r="AA55" s="42">
        <f t="shared" si="7"/>
        <v>93.6</v>
      </c>
      <c r="AB55" s="43">
        <f t="shared" si="6"/>
        <v>2.0775396695566828E-2</v>
      </c>
    </row>
    <row r="56" spans="1:29" s="11" customFormat="1" ht="22.5" x14ac:dyDescent="0.2">
      <c r="A56" s="45" t="s">
        <v>81</v>
      </c>
      <c r="B56" s="7" t="s">
        <v>50</v>
      </c>
      <c r="C56" s="40">
        <v>120</v>
      </c>
      <c r="D56" s="40"/>
      <c r="E56" s="40"/>
      <c r="F56" s="40"/>
      <c r="G56" s="40">
        <v>75</v>
      </c>
      <c r="H56" s="40">
        <v>92</v>
      </c>
      <c r="I56" s="40"/>
      <c r="J56" s="40"/>
      <c r="K56" s="40"/>
      <c r="L56" s="40">
        <v>100</v>
      </c>
      <c r="M56" s="40"/>
      <c r="N56" s="40"/>
      <c r="O56" s="40">
        <v>226.35</v>
      </c>
      <c r="P56" s="40"/>
      <c r="Q56" s="40"/>
      <c r="R56" s="40"/>
      <c r="S56" s="40"/>
      <c r="T56" s="40"/>
      <c r="U56" s="40"/>
      <c r="V56" s="40"/>
      <c r="W56" s="41"/>
      <c r="X56" s="40">
        <v>90</v>
      </c>
      <c r="Z56" s="46">
        <v>100.78000000000002</v>
      </c>
      <c r="AA56" s="42">
        <f t="shared" si="7"/>
        <v>117.22500000000001</v>
      </c>
      <c r="AB56" s="43">
        <f>AA56/Z56-1</f>
        <v>0.16317721770192484</v>
      </c>
    </row>
    <row r="57" spans="1:29" ht="12.75" customHeight="1" x14ac:dyDescent="0.2">
      <c r="A57" s="58" t="s">
        <v>80</v>
      </c>
      <c r="B57" s="7" t="s">
        <v>50</v>
      </c>
      <c r="C57" s="40"/>
      <c r="D57" s="41"/>
      <c r="E57" s="41"/>
      <c r="F57" s="41"/>
      <c r="G57" s="41">
        <v>92</v>
      </c>
      <c r="H57" s="41"/>
      <c r="I57" s="41"/>
      <c r="J57" s="41"/>
      <c r="K57" s="40">
        <v>120</v>
      </c>
      <c r="L57" s="41"/>
      <c r="M57" s="41"/>
      <c r="N57" s="41"/>
      <c r="O57" s="40"/>
      <c r="P57" s="40"/>
      <c r="Q57" s="40"/>
      <c r="R57" s="40"/>
      <c r="S57" s="40"/>
      <c r="T57" s="40"/>
      <c r="U57" s="40"/>
      <c r="V57" s="40"/>
      <c r="W57" s="41"/>
      <c r="X57" s="40"/>
      <c r="Y57" s="11"/>
      <c r="Z57" s="40">
        <v>105</v>
      </c>
      <c r="AA57" s="42">
        <f t="shared" si="7"/>
        <v>106</v>
      </c>
      <c r="AB57" s="43">
        <f t="shared" si="6"/>
        <v>9.52380952380949E-3</v>
      </c>
      <c r="AC57" s="11"/>
    </row>
    <row r="58" spans="1:29" ht="12.75" customHeight="1" x14ac:dyDescent="0.2">
      <c r="A58" s="49" t="s">
        <v>92</v>
      </c>
      <c r="B58" s="7" t="s">
        <v>50</v>
      </c>
      <c r="C58" s="68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70"/>
      <c r="Y58" s="11"/>
      <c r="Z58" s="40">
        <v>206.34769831649828</v>
      </c>
      <c r="AA58" s="41">
        <f>AVERAGE(AA50:AA54)</f>
        <v>205.16489696969697</v>
      </c>
      <c r="AB58" s="43">
        <f t="shared" si="6"/>
        <v>-5.7320791869803767E-3</v>
      </c>
      <c r="AC58" s="11"/>
    </row>
    <row r="59" spans="1:29" ht="12.75" customHeight="1" x14ac:dyDescent="0.2">
      <c r="A59" s="49" t="s">
        <v>93</v>
      </c>
      <c r="B59" s="7" t="s">
        <v>50</v>
      </c>
      <c r="C59" s="68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70"/>
      <c r="Y59" s="11"/>
      <c r="Z59" s="40">
        <v>115.6445617438354</v>
      </c>
      <c r="AA59" s="41">
        <f>AVERAGE(AA45:AA49)</f>
        <v>114.54191963761301</v>
      </c>
      <c r="AB59" s="43">
        <f t="shared" si="6"/>
        <v>-9.5347510474799169E-3</v>
      </c>
      <c r="AC59" s="11"/>
    </row>
    <row r="60" spans="1:29" ht="12.75" customHeight="1" x14ac:dyDescent="0.2">
      <c r="A60" s="60" t="s">
        <v>102</v>
      </c>
      <c r="B60" s="7" t="s">
        <v>50</v>
      </c>
      <c r="C60" s="68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70"/>
      <c r="Y60" s="11"/>
      <c r="Z60" s="40">
        <v>74.7</v>
      </c>
      <c r="AA60" s="40">
        <v>73.48</v>
      </c>
      <c r="AB60" s="43">
        <f t="shared" si="6"/>
        <v>-1.6331994645247594E-2</v>
      </c>
      <c r="AC60" s="11"/>
    </row>
    <row r="61" spans="1:29" ht="12.75" customHeight="1" x14ac:dyDescent="0.2">
      <c r="A61" s="53"/>
      <c r="B61" s="7"/>
      <c r="C61" s="68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70"/>
      <c r="Y61" s="11"/>
      <c r="Z61" s="40"/>
      <c r="AA61" s="41"/>
      <c r="AB61" s="43"/>
      <c r="AC61" s="11"/>
    </row>
    <row r="62" spans="1:29" ht="12.75" customHeight="1" x14ac:dyDescent="0.2">
      <c r="A62" s="58"/>
      <c r="B62" s="7"/>
      <c r="C62" s="61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1"/>
      <c r="P62" s="61"/>
      <c r="Q62" s="61"/>
      <c r="R62" s="61"/>
      <c r="S62" s="61"/>
      <c r="T62" s="61"/>
      <c r="U62" s="61"/>
      <c r="V62" s="61"/>
      <c r="W62" s="62"/>
      <c r="X62" s="61"/>
      <c r="Y62" s="11"/>
      <c r="Z62" s="61"/>
      <c r="AA62" s="62"/>
      <c r="AB62" s="59"/>
      <c r="AC62" s="11"/>
    </row>
    <row r="63" spans="1:29" ht="12.75" customHeight="1" x14ac:dyDescent="0.2">
      <c r="A63" s="58"/>
      <c r="B63" s="10"/>
      <c r="C63" s="61"/>
      <c r="D63" s="62"/>
      <c r="E63" s="62"/>
      <c r="F63" s="62"/>
      <c r="G63" s="62"/>
      <c r="H63" s="62"/>
      <c r="I63" s="62"/>
      <c r="J63" s="12"/>
      <c r="K63" s="62"/>
      <c r="L63" s="62"/>
      <c r="M63" s="62"/>
      <c r="N63" s="62"/>
      <c r="O63" s="61"/>
      <c r="P63" s="61"/>
      <c r="Q63" s="61"/>
      <c r="R63" s="61"/>
      <c r="S63" s="61"/>
      <c r="T63" s="61"/>
      <c r="U63" s="61"/>
      <c r="V63" s="61"/>
      <c r="W63" s="62"/>
      <c r="X63" s="61"/>
      <c r="Y63" s="11"/>
      <c r="Z63" s="61"/>
      <c r="AA63" s="62"/>
      <c r="AB63" s="59"/>
      <c r="AC63" s="11"/>
    </row>
    <row r="64" spans="1:29" ht="14.65" customHeight="1" thickBot="1" x14ac:dyDescent="0.25">
      <c r="A64" s="56" t="s">
        <v>112</v>
      </c>
      <c r="B64" s="9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11"/>
      <c r="Z64" s="48"/>
      <c r="AA64" s="48"/>
      <c r="AB64" s="48"/>
      <c r="AC64" s="11"/>
    </row>
    <row r="65" spans="1:29" ht="12.75" customHeight="1" x14ac:dyDescent="0.2">
      <c r="A65" s="63" t="s">
        <v>82</v>
      </c>
      <c r="B65" s="15" t="s">
        <v>50</v>
      </c>
      <c r="C65" s="41">
        <v>173.3</v>
      </c>
      <c r="D65" s="40">
        <v>150</v>
      </c>
      <c r="E65" s="40">
        <v>208.7</v>
      </c>
      <c r="F65" s="40">
        <v>140</v>
      </c>
      <c r="G65" s="40">
        <v>114</v>
      </c>
      <c r="H65" s="40">
        <v>170.3</v>
      </c>
      <c r="I65" s="40"/>
      <c r="J65" s="41">
        <v>154</v>
      </c>
      <c r="K65" s="41">
        <v>160</v>
      </c>
      <c r="L65" s="41">
        <v>150</v>
      </c>
      <c r="M65" s="41">
        <v>110</v>
      </c>
      <c r="N65" s="41">
        <v>155</v>
      </c>
      <c r="O65" s="41">
        <v>170</v>
      </c>
      <c r="P65" s="64">
        <v>240</v>
      </c>
      <c r="Q65" s="41"/>
      <c r="R65" s="41">
        <v>140</v>
      </c>
      <c r="S65" s="40">
        <v>156</v>
      </c>
      <c r="T65" s="41"/>
      <c r="U65" s="40">
        <v>165.07</v>
      </c>
      <c r="V65" s="41">
        <v>170</v>
      </c>
      <c r="W65" s="40">
        <v>280</v>
      </c>
      <c r="X65" s="41">
        <v>110</v>
      </c>
      <c r="Y65" s="11"/>
      <c r="Z65" s="41">
        <v>159.93333333333334</v>
      </c>
      <c r="AA65" s="42">
        <f>AVERAGE(C65:X65)</f>
        <v>164.01947368421054</v>
      </c>
      <c r="AB65" s="43">
        <f>AA65/Z65-1</f>
        <v>2.5549022619073769E-2</v>
      </c>
      <c r="AC65" s="11"/>
    </row>
    <row r="66" spans="1:29" ht="12.75" customHeight="1" x14ac:dyDescent="0.2">
      <c r="A66" s="53"/>
      <c r="B66" s="54"/>
      <c r="C66" s="41"/>
      <c r="D66" s="41"/>
      <c r="E66" s="40"/>
      <c r="F66" s="40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11"/>
      <c r="Z66" s="41"/>
      <c r="AA66" s="42"/>
      <c r="AB66" s="43"/>
      <c r="AC66" s="11"/>
    </row>
    <row r="67" spans="1:29" ht="14.65" customHeight="1" thickBot="1" x14ac:dyDescent="0.25">
      <c r="A67" s="48" t="s">
        <v>109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11"/>
      <c r="Z67" s="48"/>
      <c r="AA67" s="48"/>
      <c r="AB67" s="48"/>
      <c r="AC67" s="11"/>
    </row>
    <row r="68" spans="1:29" s="11" customFormat="1" ht="28.5" customHeight="1" x14ac:dyDescent="0.2">
      <c r="A68" s="39" t="s">
        <v>108</v>
      </c>
      <c r="B68" s="6" t="s">
        <v>57</v>
      </c>
      <c r="C68" s="40">
        <v>230</v>
      </c>
      <c r="D68" s="40"/>
      <c r="E68" s="40"/>
      <c r="F68" s="40"/>
      <c r="G68" s="40"/>
      <c r="H68" s="40">
        <v>180</v>
      </c>
      <c r="I68" s="40"/>
      <c r="J68" s="40">
        <v>220</v>
      </c>
      <c r="K68" s="40"/>
      <c r="L68" s="40">
        <v>200</v>
      </c>
      <c r="M68" s="40"/>
      <c r="N68" s="40"/>
      <c r="O68" s="40">
        <v>220</v>
      </c>
      <c r="P68" s="40"/>
      <c r="Q68" s="40"/>
      <c r="R68" s="40"/>
      <c r="S68" s="40"/>
      <c r="T68" s="40"/>
      <c r="U68" s="40">
        <v>248.13</v>
      </c>
      <c r="V68" s="40"/>
      <c r="W68" s="40"/>
      <c r="X68" s="41"/>
      <c r="Z68" s="41">
        <v>216.16666666666666</v>
      </c>
      <c r="AA68" s="42">
        <f>AVERAGE(C68:X68)</f>
        <v>216.35500000000002</v>
      </c>
      <c r="AB68" s="43">
        <f>AA68/Z68-1</f>
        <v>8.7124132613736194E-4</v>
      </c>
    </row>
    <row r="69" spans="1:29" ht="15" customHeight="1" x14ac:dyDescent="0.2">
      <c r="A69" s="39" t="s">
        <v>110</v>
      </c>
      <c r="B69" s="6" t="s">
        <v>57</v>
      </c>
      <c r="C69" s="40">
        <v>160</v>
      </c>
      <c r="D69" s="40">
        <v>250</v>
      </c>
      <c r="E69" s="40"/>
      <c r="F69" s="40">
        <v>182.58</v>
      </c>
      <c r="G69" s="40"/>
      <c r="H69" s="40">
        <v>124</v>
      </c>
      <c r="I69" s="40">
        <v>200</v>
      </c>
      <c r="J69" s="40">
        <v>170</v>
      </c>
      <c r="K69" s="40">
        <v>150</v>
      </c>
      <c r="L69" s="40">
        <v>180</v>
      </c>
      <c r="M69" s="40"/>
      <c r="N69" s="40">
        <v>200</v>
      </c>
      <c r="O69" s="40"/>
      <c r="P69" s="40">
        <v>380</v>
      </c>
      <c r="Q69" s="40"/>
      <c r="R69" s="40"/>
      <c r="S69" s="40">
        <v>138</v>
      </c>
      <c r="T69" s="40">
        <v>160</v>
      </c>
      <c r="U69" s="40">
        <v>185.01</v>
      </c>
      <c r="V69" s="40">
        <v>280</v>
      </c>
      <c r="W69" s="40">
        <v>240</v>
      </c>
      <c r="X69" s="41">
        <v>125</v>
      </c>
      <c r="Y69" s="11"/>
      <c r="Z69" s="41">
        <v>183.44125</v>
      </c>
      <c r="AA69" s="42">
        <f>AVERAGE(C69:X69)</f>
        <v>195.28687500000001</v>
      </c>
      <c r="AB69" s="43">
        <f>AA69/Z69-1</f>
        <v>6.457448910754815E-2</v>
      </c>
      <c r="AC69" s="11"/>
    </row>
    <row r="70" spans="1:29" ht="12.75" customHeight="1" x14ac:dyDescent="0.2">
      <c r="A70" s="49"/>
      <c r="B70" s="6"/>
      <c r="C70" s="41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11"/>
      <c r="Z70" s="41"/>
      <c r="AA70" s="42"/>
      <c r="AB70" s="43"/>
      <c r="AC70" s="11"/>
    </row>
    <row r="71" spans="1:29" x14ac:dyDescent="0.2">
      <c r="A71" s="12"/>
      <c r="B71" s="12"/>
      <c r="C71" s="12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1"/>
      <c r="Z71" s="12"/>
      <c r="AA71" s="12"/>
      <c r="AB71" s="13"/>
      <c r="AC71" s="11"/>
    </row>
  </sheetData>
  <sheetProtection selectLockedCells="1" selectUnlockedCells="1"/>
  <mergeCells count="7">
    <mergeCell ref="C61:X61"/>
    <mergeCell ref="A2:AB2"/>
    <mergeCell ref="A3:AB3"/>
    <mergeCell ref="A4:B4"/>
    <mergeCell ref="C58:X58"/>
    <mergeCell ref="C59:X59"/>
    <mergeCell ref="C60:X60"/>
  </mergeCells>
  <pageMargins left="0.39370078740157483" right="0.19685039370078741" top="0.23622047244094491" bottom="0.31496062992125984" header="0" footer="0"/>
  <pageSetup paperSize="9" scale="61" fitToHeight="2" orientation="landscape" useFirstPageNumber="1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defaultGridColor="0" colorId="9" zoomScale="90" zoomScaleNormal="90" workbookViewId="0">
      <selection activeCell="E19" sqref="E19"/>
    </sheetView>
  </sheetViews>
  <sheetFormatPr defaultRowHeight="12.75" x14ac:dyDescent="0.2"/>
  <cols>
    <col min="1" max="1" width="42.7109375" style="16" customWidth="1"/>
    <col min="2" max="2" width="13.28515625" style="16" customWidth="1"/>
    <col min="3" max="3" width="19.7109375" style="16" customWidth="1"/>
    <col min="4" max="4" width="22.140625" style="16" customWidth="1"/>
    <col min="5" max="5" width="18.85546875" style="16" customWidth="1"/>
    <col min="6" max="16384" width="9.140625" style="16"/>
  </cols>
  <sheetData>
    <row r="1" spans="1:4" ht="12" customHeight="1" x14ac:dyDescent="0.2"/>
    <row r="2" spans="1:4" x14ac:dyDescent="0.2">
      <c r="A2" s="17" t="s">
        <v>58</v>
      </c>
      <c r="B2" s="17" t="s">
        <v>59</v>
      </c>
      <c r="C2" s="17" t="s">
        <v>60</v>
      </c>
      <c r="D2" s="17" t="s">
        <v>61</v>
      </c>
    </row>
    <row r="3" spans="1:4" ht="13.5" thickBot="1" x14ac:dyDescent="0.25">
      <c r="A3" s="75" t="s">
        <v>62</v>
      </c>
      <c r="B3" s="18">
        <v>1</v>
      </c>
      <c r="C3" s="18">
        <v>0.7</v>
      </c>
      <c r="D3" s="19">
        <v>0.61</v>
      </c>
    </row>
    <row r="4" spans="1:4" ht="14.25" thickTop="1" thickBot="1" x14ac:dyDescent="0.25">
      <c r="A4" s="75"/>
      <c r="B4" s="18">
        <v>1.43</v>
      </c>
      <c r="C4" s="18">
        <v>1</v>
      </c>
      <c r="D4" s="19">
        <v>0.87</v>
      </c>
    </row>
    <row r="5" spans="1:4" ht="14.25" thickTop="1" thickBot="1" x14ac:dyDescent="0.25">
      <c r="A5" s="75"/>
      <c r="B5" s="20">
        <v>1.65</v>
      </c>
      <c r="C5" s="20">
        <v>1.1499999999999999</v>
      </c>
      <c r="D5" s="21">
        <v>1</v>
      </c>
    </row>
    <row r="6" spans="1:4" ht="14.25" thickTop="1" thickBot="1" x14ac:dyDescent="0.25">
      <c r="A6" s="75" t="s">
        <v>63</v>
      </c>
      <c r="B6" s="18">
        <v>1</v>
      </c>
      <c r="C6" s="18">
        <v>0.61</v>
      </c>
      <c r="D6" s="19">
        <v>0.57999999999999996</v>
      </c>
    </row>
    <row r="7" spans="1:4" ht="14.25" thickTop="1" thickBot="1" x14ac:dyDescent="0.25">
      <c r="A7" s="75"/>
      <c r="B7" s="18">
        <v>1.64</v>
      </c>
      <c r="C7" s="18">
        <v>1</v>
      </c>
      <c r="D7" s="19">
        <v>0.95</v>
      </c>
    </row>
    <row r="8" spans="1:4" ht="14.25" thickTop="1" thickBot="1" x14ac:dyDescent="0.25">
      <c r="A8" s="75"/>
      <c r="B8" s="20">
        <v>1.74</v>
      </c>
      <c r="C8" s="20">
        <v>1.06</v>
      </c>
      <c r="D8" s="21">
        <v>1</v>
      </c>
    </row>
    <row r="9" spans="1:4" ht="14.25" thickTop="1" thickBot="1" x14ac:dyDescent="0.25">
      <c r="A9" s="75" t="s">
        <v>64</v>
      </c>
      <c r="B9" s="18">
        <v>1</v>
      </c>
      <c r="C9" s="18">
        <v>0.5</v>
      </c>
      <c r="D9" s="19">
        <v>0.34</v>
      </c>
    </row>
    <row r="10" spans="1:4" ht="14.25" thickTop="1" thickBot="1" x14ac:dyDescent="0.25">
      <c r="A10" s="75"/>
      <c r="B10" s="18">
        <v>2</v>
      </c>
      <c r="C10" s="18">
        <v>1</v>
      </c>
      <c r="D10" s="19">
        <v>0.68</v>
      </c>
    </row>
    <row r="11" spans="1:4" ht="14.25" thickTop="1" thickBot="1" x14ac:dyDescent="0.25">
      <c r="A11" s="75"/>
      <c r="B11" s="20">
        <v>2.94</v>
      </c>
      <c r="C11" s="20">
        <v>1.47</v>
      </c>
      <c r="D11" s="21">
        <v>1</v>
      </c>
    </row>
    <row r="12" spans="1:4" s="23" customFormat="1" ht="28.5" customHeight="1" thickTop="1" thickBot="1" x14ac:dyDescent="0.25">
      <c r="A12" s="22" t="s">
        <v>65</v>
      </c>
      <c r="B12" s="76" t="s">
        <v>66</v>
      </c>
      <c r="C12" s="76"/>
      <c r="D12" s="76"/>
    </row>
    <row r="13" spans="1:4" ht="13.5" thickTop="1" x14ac:dyDescent="0.2">
      <c r="A13" s="24" t="s">
        <v>67</v>
      </c>
    </row>
    <row r="16" spans="1:4" x14ac:dyDescent="0.2">
      <c r="A16" s="77" t="s">
        <v>96</v>
      </c>
      <c r="B16" s="31" t="s">
        <v>99</v>
      </c>
      <c r="C16" s="31" t="s">
        <v>98</v>
      </c>
      <c r="D16" s="31" t="s">
        <v>97</v>
      </c>
    </row>
    <row r="17" spans="1:4" x14ac:dyDescent="0.2">
      <c r="A17" s="78"/>
      <c r="B17" s="32">
        <v>1.39</v>
      </c>
      <c r="C17" s="33">
        <v>1</v>
      </c>
      <c r="D17" s="33">
        <v>1</v>
      </c>
    </row>
    <row r="19" spans="1:4" x14ac:dyDescent="0.2">
      <c r="A19" s="25" t="s">
        <v>68</v>
      </c>
      <c r="B19" s="26" t="s">
        <v>69</v>
      </c>
      <c r="C19" s="26" t="s">
        <v>70</v>
      </c>
      <c r="D19" s="26" t="s">
        <v>71</v>
      </c>
    </row>
    <row r="20" spans="1:4" x14ac:dyDescent="0.2">
      <c r="A20" s="27" t="s">
        <v>72</v>
      </c>
      <c r="B20" s="28">
        <v>415</v>
      </c>
      <c r="C20" s="28">
        <v>356</v>
      </c>
      <c r="D20" s="28">
        <f>AVERAGE(B20:C20)</f>
        <v>385.5</v>
      </c>
    </row>
    <row r="21" spans="1:4" x14ac:dyDescent="0.2">
      <c r="A21" s="29" t="s">
        <v>73</v>
      </c>
      <c r="B21" s="29"/>
      <c r="C21" s="29"/>
      <c r="D21" s="29"/>
    </row>
    <row r="23" spans="1:4" x14ac:dyDescent="0.2">
      <c r="A23" s="34" t="s">
        <v>101</v>
      </c>
      <c r="B23" s="30"/>
      <c r="C23" s="30"/>
      <c r="D23" s="30"/>
    </row>
    <row r="24" spans="1:4" x14ac:dyDescent="0.2">
      <c r="A24" s="73" t="s">
        <v>100</v>
      </c>
      <c r="B24" s="73"/>
      <c r="C24" s="73"/>
      <c r="D24" s="73"/>
    </row>
    <row r="25" spans="1:4" x14ac:dyDescent="0.2">
      <c r="A25" s="73"/>
      <c r="B25" s="73"/>
      <c r="C25" s="73"/>
      <c r="D25" s="73"/>
    </row>
    <row r="26" spans="1:4" x14ac:dyDescent="0.2">
      <c r="A26" s="73"/>
      <c r="B26" s="73"/>
      <c r="C26" s="73"/>
      <c r="D26" s="73"/>
    </row>
    <row r="27" spans="1:4" x14ac:dyDescent="0.2">
      <c r="A27" s="73"/>
      <c r="B27" s="73"/>
      <c r="C27" s="73"/>
      <c r="D27" s="73"/>
    </row>
    <row r="28" spans="1:4" x14ac:dyDescent="0.2">
      <c r="A28" s="74"/>
      <c r="B28" s="74"/>
      <c r="C28" s="74"/>
      <c r="D28" s="74"/>
    </row>
  </sheetData>
  <sheetProtection selectLockedCells="1" selectUnlockedCells="1"/>
  <mergeCells count="6">
    <mergeCell ref="A24:D28"/>
    <mergeCell ref="A3:A5"/>
    <mergeCell ref="A6:A8"/>
    <mergeCell ref="A9:A11"/>
    <mergeCell ref="B12:D12"/>
    <mergeCell ref="A16:A17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FORMULÁRIO</vt:lpstr>
      <vt:lpstr>Fatores e notas</vt:lpstr>
      <vt:lpstr>FORMULÁRIO!Area_de_impressao</vt:lpstr>
      <vt:lpstr>FORMULÁRIO!Titulos_de_impressao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Larissa Nahirny Alves</cp:lastModifiedBy>
  <cp:lastPrinted>2025-09-30T19:59:35Z</cp:lastPrinted>
  <dcterms:created xsi:type="dcterms:W3CDTF">2020-06-24T18:57:09Z</dcterms:created>
  <dcterms:modified xsi:type="dcterms:W3CDTF">2025-10-01T13:06:39Z</dcterms:modified>
</cp:coreProperties>
</file>