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4_agost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FORMULÁRIO!$A$1:$AB$69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A29" i="1" l="1"/>
  <c r="AA30" i="1"/>
  <c r="AB60" i="1"/>
  <c r="AA19" i="1"/>
  <c r="AA67" i="1"/>
  <c r="AA66" i="1"/>
  <c r="AA63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44" i="1"/>
  <c r="AA37" i="1"/>
  <c r="AA38" i="1"/>
  <c r="AA39" i="1"/>
  <c r="AA40" i="1"/>
  <c r="AA41" i="1"/>
  <c r="AA36" i="1"/>
  <c r="AA33" i="1"/>
  <c r="AA27" i="1"/>
  <c r="AA28" i="1"/>
  <c r="AA26" i="1"/>
  <c r="AA9" i="1"/>
  <c r="AA10" i="1"/>
  <c r="AA11" i="1"/>
  <c r="AA12" i="1"/>
  <c r="AA13" i="1"/>
  <c r="AA14" i="1"/>
  <c r="AA15" i="1"/>
  <c r="AA16" i="1"/>
  <c r="AA17" i="1"/>
  <c r="AA18" i="1"/>
  <c r="AA20" i="1"/>
  <c r="AA21" i="1"/>
  <c r="AA22" i="1"/>
  <c r="AA23" i="1"/>
  <c r="AA8" i="1"/>
  <c r="D20" i="3"/>
  <c r="AB19" i="1" l="1"/>
  <c r="AB10" i="1"/>
  <c r="AB46" i="1"/>
  <c r="AB16" i="1"/>
  <c r="AB51" i="1"/>
  <c r="AB54" i="1"/>
  <c r="AB28" i="1"/>
  <c r="AB30" i="1"/>
  <c r="AB15" i="1"/>
  <c r="AB49" i="1"/>
  <c r="AB9" i="1"/>
  <c r="AB29" i="1"/>
  <c r="AB11" i="1"/>
  <c r="AB12" i="1"/>
  <c r="AB55" i="1"/>
  <c r="AB47" i="1"/>
  <c r="AB26" i="1"/>
  <c r="AB23" i="1"/>
  <c r="AB40" i="1"/>
  <c r="AB56" i="1"/>
  <c r="AB38" i="1"/>
  <c r="AB18" i="1"/>
  <c r="AB20" i="1"/>
  <c r="AB33" i="1"/>
  <c r="AB44" i="1"/>
  <c r="AB57" i="1"/>
  <c r="AB67" i="1"/>
  <c r="AB53" i="1"/>
  <c r="AA58" i="1"/>
  <c r="AB58" i="1" s="1"/>
  <c r="AB50" i="1"/>
  <c r="AB13" i="1"/>
  <c r="AB66" i="1"/>
  <c r="AB21" i="1"/>
  <c r="AB39" i="1"/>
  <c r="AB14" i="1"/>
  <c r="AB17" i="1"/>
  <c r="AB27" i="1"/>
  <c r="AB22" i="1"/>
  <c r="AB52" i="1"/>
  <c r="AA59" i="1"/>
  <c r="AB59" i="1" s="1"/>
  <c r="AB37" i="1"/>
  <c r="AB63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<sst xmlns="http://schemas.openxmlformats.org/spreadsheetml/2006/main" count="156" uniqueCount="114">
  <si>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</si>
  <si>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</si>
  <si>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</si>
  <si>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</si>
  <si>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</si>
  <si>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</si>
  <si>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</si>
  <si>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</si>
  <si>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</si>
  <si>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</si>
  <si>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</si>
  <si>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</si>
  <si>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</si>
  <si>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</si>
  <si>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</si>
  <si>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</si>
  <si>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</si>
  <si>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</si>
  <si>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</si>
  <si>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</si>
  <si>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</si>
  <si>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</si>
  <si>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</si>
  <si>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</si>
  <si>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</si>
  <si>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</si>
  <si>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</si>
  <si>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</si>
  <si>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</si>
  <si>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</si>
  <si>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</si>
  <si>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</si>
  <si>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</si>
  <si>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</si>
  <si>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</si>
  <si>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</si>
  <si>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</si>
  <si>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</si>
  <si>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</si>
  <si>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</si>
  <si>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</si>
  <si>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</si>
  <si>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</si>
  <si>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</si>
  <si>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</si>
  <si>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</si>
  <si>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</si>
  <si>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</si>
  <si>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</si>
  <si>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</si>
  <si>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</si>
  <si>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</si>
  <si>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</si>
  <si>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</si>
  <si>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</si>
  <si>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</si>
  <si>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</si>
  <si>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</si>
  <si>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</si>
  <si>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</si>
  <si>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</si>
  <si>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</si>
  <si>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</si>
  <si>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</si>
  <si>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</si>
  <si>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</si>
  <si>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</si>
  <si>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</si>
  <si>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</si>
  <si>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</si>
  <si>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</si>
  <si>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</si>
  <si>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</si>
  <si>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</si>
  <si>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</si>
  <si>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</si>
  <si>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</si>
  <si>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</si>
  <si>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</si>
  <si>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</si>
  <si>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</si>
  <si>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</si>
  <si>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</si>
  <si>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</si>
  <si>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</si>
  <si>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</si>
  <si>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</si>
  <si>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</si>
  <si>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</si>
  <si>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</si>
  <si>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</si>
  <si>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</si>
  <si>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</si>
  <si>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</si>
  <si>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</si>
  <si>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</si>
  <si>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</si>
  <si>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</si>
  <si>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</si>
  <si>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</si>
  <si>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</si>
  <si>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</si>
  <si>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</si>
  <si>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</si>
  <si>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</si>
  <si>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</si>
  <si>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</si>
  <si>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</si>
  <si>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</si>
  <si>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</si>
  <si>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</si>
  <si>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Cianorte</t>
  </si>
  <si>
    <t>Lenha</t>
  </si>
  <si>
    <t>Referência: agosto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</si>
</sst>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tabSelected="1" defaultGridColor="0" colorId="9" zoomScaleNormal="100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8" s="23" customForma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Z1" s="24"/>
      <c r="AA1" s="24"/>
      <c r="AB1" s="25"/>
    </row>
    <row r="2" spans="1:28" s="23" customFormat="1" x14ac:dyDescent="0.2">
      <c r="A2" s="71" t="s">
        <v>86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s="23" customFormat="1" x14ac:dyDescent="0.2">
      <c r="A3" s="71" t="s">
        <v>85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8" s="23" customFormat="1" x14ac:dyDescent="0.2">
      <c r="A4" s="72" t="s">
        <v>87</v>
      </c>
      <c r="B4" s="72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Z4" s="24"/>
      <c r="AA4" s="24"/>
      <c r="AB4" s="25"/>
    </row>
    <row r="5" spans="1:28" s="23" customFormat="1" x14ac:dyDescent="0.2">
      <c r="A5" s="26" t="s">
        <v>113</v>
      </c>
      <c r="B5" s="26"/>
      <c r="C5" s="30"/>
      <c r="D5" s="30"/>
      <c r="E5" s="59"/>
      <c r="F5" s="59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59"/>
      <c r="T5" s="30"/>
      <c r="U5" s="59"/>
      <c r="V5" s="30"/>
      <c r="W5" s="59"/>
      <c r="X5" s="59"/>
      <c r="Z5" s="30"/>
      <c r="AA5" s="24"/>
      <c r="AB5" s="25"/>
    </row>
    <row r="6" spans="1:28" ht="91.5" customHeight="1" x14ac:dyDescent="0.2">
      <c r="A6" s="54" t="s">
        <v>0</v>
      </c>
      <c r="B6" s="55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53" t="s">
        <v>23</v>
      </c>
      <c r="AA6" s="4" t="s">
        <v>24</v>
      </c>
      <c r="AB6" s="5" t="s">
        <v>25</v>
      </c>
    </row>
    <row r="7" spans="1:28" ht="13.5" thickBot="1" x14ac:dyDescent="0.25">
      <c r="A7" s="32" t="s">
        <v>95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Z7" s="6"/>
      <c r="AA7" s="6"/>
      <c r="AB7" s="6"/>
    </row>
    <row r="8" spans="1:28" ht="12.75" customHeight="1" x14ac:dyDescent="0.2">
      <c r="A8" s="7" t="s">
        <v>88</v>
      </c>
      <c r="B8" s="14" t="s">
        <v>26</v>
      </c>
      <c r="C8" s="8"/>
      <c r="D8" s="8">
        <v>2</v>
      </c>
      <c r="E8" s="8"/>
      <c r="F8" s="8"/>
      <c r="G8" s="8">
        <v>1.5</v>
      </c>
      <c r="H8" s="8"/>
      <c r="I8" s="8"/>
      <c r="J8" s="8"/>
      <c r="K8" s="8"/>
      <c r="L8" s="8">
        <v>1.6</v>
      </c>
      <c r="M8" s="8">
        <v>1.3</v>
      </c>
      <c r="N8" s="8"/>
      <c r="O8" s="8"/>
      <c r="P8" s="8">
        <v>1.2</v>
      </c>
      <c r="Q8" s="8"/>
      <c r="R8" s="8">
        <v>0.75</v>
      </c>
      <c r="S8" s="8">
        <v>0.8</v>
      </c>
      <c r="T8" s="8"/>
      <c r="U8" s="8">
        <v>1</v>
      </c>
      <c r="V8" s="8"/>
      <c r="W8" s="8">
        <v>1.5</v>
      </c>
      <c r="X8" s="8"/>
      <c r="Z8" s="8">
        <v>1.3055555555555556</v>
      </c>
      <c r="AA8" s="9">
        <f>AVERAGE(C8:X8)</f>
        <v>1.2944444444444445</v>
      </c>
      <c r="AB8" s="10">
        <f t="shared" ref="AB8:AB18" si="0">AA8/Z8-1</f>
        <v>-8.5106382978723527E-3</v>
      </c>
    </row>
    <row r="9" spans="1:28" ht="12.75" customHeight="1" x14ac:dyDescent="0.2">
      <c r="A9" s="7" t="s">
        <v>27</v>
      </c>
      <c r="B9" s="14" t="s">
        <v>26</v>
      </c>
      <c r="C9" s="8"/>
      <c r="D9" s="8"/>
      <c r="E9" s="8"/>
      <c r="F9" s="8"/>
      <c r="G9" s="8">
        <v>1.5</v>
      </c>
      <c r="H9" s="8"/>
      <c r="I9" s="8"/>
      <c r="J9" s="8"/>
      <c r="K9" s="8"/>
      <c r="L9" s="8"/>
      <c r="M9" s="8"/>
      <c r="N9" s="8"/>
      <c r="O9" s="8"/>
      <c r="P9" s="8"/>
      <c r="Q9" s="8"/>
      <c r="R9" s="8">
        <v>0.75</v>
      </c>
      <c r="S9" s="8"/>
      <c r="T9" s="8"/>
      <c r="U9" s="8">
        <v>1</v>
      </c>
      <c r="V9" s="8"/>
      <c r="W9" s="8"/>
      <c r="X9" s="8"/>
      <c r="Z9" s="8">
        <v>0.98750000000000004</v>
      </c>
      <c r="AA9" s="9">
        <f t="shared" ref="AA9:AA23" si="1">AVERAGE(C9:X9)</f>
        <v>1.0833333333333333</v>
      </c>
      <c r="AB9" s="10">
        <f t="shared" si="0"/>
        <v>9.704641350210963E-2</v>
      </c>
    </row>
    <row r="10" spans="1:28" ht="12.75" customHeight="1" x14ac:dyDescent="0.2">
      <c r="A10" s="7" t="s">
        <v>28</v>
      </c>
      <c r="B10" s="14" t="s">
        <v>26</v>
      </c>
      <c r="C10" s="8"/>
      <c r="D10" s="8">
        <v>2</v>
      </c>
      <c r="E10" s="8"/>
      <c r="F10" s="8"/>
      <c r="G10" s="8">
        <v>1.3</v>
      </c>
      <c r="H10" s="8">
        <v>0.8</v>
      </c>
      <c r="I10" s="8"/>
      <c r="J10" s="8">
        <v>0.93</v>
      </c>
      <c r="K10" s="8">
        <v>0.9</v>
      </c>
      <c r="L10" s="8"/>
      <c r="M10" s="8"/>
      <c r="N10" s="8"/>
      <c r="O10" s="8"/>
      <c r="P10" s="8"/>
      <c r="Q10" s="8"/>
      <c r="R10" s="8">
        <v>0.75</v>
      </c>
      <c r="S10" s="8">
        <v>0.8</v>
      </c>
      <c r="T10" s="8"/>
      <c r="U10" s="8">
        <v>1</v>
      </c>
      <c r="V10" s="8">
        <v>0.9</v>
      </c>
      <c r="W10" s="8"/>
      <c r="X10" s="8">
        <v>0.9</v>
      </c>
      <c r="Z10" s="8">
        <v>1.0181818181818181</v>
      </c>
      <c r="AA10" s="9">
        <f t="shared" si="1"/>
        <v>1.028</v>
      </c>
      <c r="AB10" s="10">
        <f t="shared" si="0"/>
        <v>9.6428571428572862E-3</v>
      </c>
    </row>
    <row r="11" spans="1:28" ht="12.75" customHeight="1" x14ac:dyDescent="0.2">
      <c r="A11" s="7" t="s">
        <v>29</v>
      </c>
      <c r="B11" s="14" t="s">
        <v>26</v>
      </c>
      <c r="C11" s="8"/>
      <c r="D11" s="8"/>
      <c r="E11" s="8"/>
      <c r="F11" s="8"/>
      <c r="G11" s="8">
        <v>1.3</v>
      </c>
      <c r="H11" s="8">
        <v>0.83</v>
      </c>
      <c r="I11" s="8"/>
      <c r="J11" s="8"/>
      <c r="K11" s="8"/>
      <c r="L11" s="8">
        <v>1.5</v>
      </c>
      <c r="M11" s="8">
        <v>1.1000000000000001</v>
      </c>
      <c r="N11" s="8"/>
      <c r="O11" s="8">
        <v>1.4</v>
      </c>
      <c r="P11" s="8"/>
      <c r="Q11" s="8"/>
      <c r="R11" s="8">
        <v>0.75</v>
      </c>
      <c r="S11" s="8">
        <v>0.8</v>
      </c>
      <c r="T11" s="8"/>
      <c r="U11" s="8">
        <v>1</v>
      </c>
      <c r="V11" s="8"/>
      <c r="W11" s="8">
        <v>1.5</v>
      </c>
      <c r="X11" s="8">
        <v>1</v>
      </c>
      <c r="Z11" s="8">
        <v>1.0663636363636364</v>
      </c>
      <c r="AA11" s="9">
        <f t="shared" si="1"/>
        <v>1.1179999999999999</v>
      </c>
      <c r="AB11" s="10">
        <f t="shared" si="0"/>
        <v>4.8422847399829383E-2</v>
      </c>
    </row>
    <row r="12" spans="1:28" ht="12.75" customHeight="1" x14ac:dyDescent="0.2">
      <c r="A12" s="7" t="s">
        <v>30</v>
      </c>
      <c r="B12" s="14" t="s">
        <v>26</v>
      </c>
      <c r="C12" s="8"/>
      <c r="D12" s="8"/>
      <c r="E12" s="8"/>
      <c r="F12" s="8"/>
      <c r="G12" s="8">
        <v>1.3</v>
      </c>
      <c r="H12" s="8">
        <v>0.8</v>
      </c>
      <c r="I12" s="8"/>
      <c r="J12" s="8"/>
      <c r="K12" s="8"/>
      <c r="L12" s="8">
        <v>1.6</v>
      </c>
      <c r="M12" s="8">
        <v>1.1000000000000001</v>
      </c>
      <c r="N12" s="8"/>
      <c r="O12" s="8"/>
      <c r="P12" s="8"/>
      <c r="Q12" s="8"/>
      <c r="R12" s="8"/>
      <c r="S12" s="8"/>
      <c r="T12" s="8"/>
      <c r="U12" s="8">
        <v>1</v>
      </c>
      <c r="V12" s="8"/>
      <c r="W12" s="8"/>
      <c r="X12" s="8">
        <v>1</v>
      </c>
      <c r="Z12" s="8">
        <v>1.1599999999999999</v>
      </c>
      <c r="AA12" s="9">
        <f t="shared" si="1"/>
        <v>1.1333333333333335</v>
      </c>
      <c r="AB12" s="10">
        <f t="shared" si="0"/>
        <v>-2.2988505747126187E-2</v>
      </c>
    </row>
    <row r="13" spans="1:28" ht="12.75" customHeight="1" x14ac:dyDescent="0.2">
      <c r="A13" s="7" t="s">
        <v>31</v>
      </c>
      <c r="B13" s="14" t="s">
        <v>26</v>
      </c>
      <c r="C13" s="8"/>
      <c r="D13" s="8"/>
      <c r="E13" s="8"/>
      <c r="F13" s="8"/>
      <c r="G13" s="8"/>
      <c r="H13" s="8"/>
      <c r="I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Z13" s="8"/>
      <c r="AA13" s="9" t="e">
        <f t="shared" si="1"/>
        <v>#DIV/0!</v>
      </c>
      <c r="AB13" s="10" t="e">
        <f t="shared" si="0"/>
        <v>#DIV/0!</v>
      </c>
    </row>
    <row r="14" spans="1:28" ht="12.75" customHeight="1" x14ac:dyDescent="0.2">
      <c r="A14" s="7" t="s">
        <v>32</v>
      </c>
      <c r="B14" s="14" t="s">
        <v>26</v>
      </c>
      <c r="C14" s="8"/>
      <c r="D14" s="8"/>
      <c r="E14" s="8"/>
      <c r="F14" s="8"/>
      <c r="G14" s="8"/>
      <c r="H14" s="8">
        <v>0.88</v>
      </c>
      <c r="I14" s="8"/>
      <c r="J14" s="8">
        <v>0.98</v>
      </c>
      <c r="K14" s="8"/>
      <c r="L14" s="8"/>
      <c r="M14" s="8"/>
      <c r="N14" s="8"/>
      <c r="O14" s="8"/>
      <c r="P14" s="8"/>
      <c r="Q14" s="8"/>
      <c r="R14" s="8">
        <v>0.75</v>
      </c>
      <c r="S14" s="8">
        <v>0.8</v>
      </c>
      <c r="T14" s="8"/>
      <c r="U14" s="8">
        <v>1</v>
      </c>
      <c r="V14" s="8"/>
      <c r="W14" s="8"/>
      <c r="X14" s="8">
        <v>0.95</v>
      </c>
      <c r="Z14" s="8">
        <v>0.8828571428571429</v>
      </c>
      <c r="AA14" s="9">
        <f t="shared" si="1"/>
        <v>0.89333333333333342</v>
      </c>
      <c r="AB14" s="10">
        <f t="shared" si="0"/>
        <v>1.1866235167206085E-2</v>
      </c>
    </row>
    <row r="15" spans="1:28" ht="12.75" customHeight="1" x14ac:dyDescent="0.2">
      <c r="A15" s="7" t="s">
        <v>33</v>
      </c>
      <c r="B15" s="14" t="s">
        <v>26</v>
      </c>
      <c r="C15" s="8"/>
      <c r="D15" s="8">
        <v>1.6</v>
      </c>
      <c r="E15" s="8"/>
      <c r="F15" s="8"/>
      <c r="G15" s="8">
        <v>1.3</v>
      </c>
      <c r="H15" s="8"/>
      <c r="I15" s="8"/>
      <c r="K15" s="8"/>
      <c r="L15" s="8"/>
      <c r="M15" s="8">
        <v>1.1000000000000001</v>
      </c>
      <c r="N15" s="8"/>
      <c r="O15" s="8"/>
      <c r="P15" s="8"/>
      <c r="Q15" s="8"/>
      <c r="R15" s="8">
        <v>0.75</v>
      </c>
      <c r="S15" s="8"/>
      <c r="T15" s="8"/>
      <c r="U15" s="8">
        <v>1</v>
      </c>
      <c r="V15" s="8"/>
      <c r="W15" s="8">
        <v>1.6</v>
      </c>
      <c r="X15" s="8"/>
      <c r="Z15" s="11">
        <v>1.2583333333333335</v>
      </c>
      <c r="AA15" s="9">
        <f t="shared" si="1"/>
        <v>1.2249999999999999</v>
      </c>
      <c r="AB15" s="10">
        <f t="shared" si="0"/>
        <v>-2.6490066225165809E-2</v>
      </c>
    </row>
    <row r="16" spans="1:28" ht="12.75" customHeight="1" x14ac:dyDescent="0.2">
      <c r="A16" s="7" t="s">
        <v>34</v>
      </c>
      <c r="B16" s="14" t="s">
        <v>26</v>
      </c>
      <c r="C16" s="8"/>
      <c r="D16" s="8"/>
      <c r="E16" s="8"/>
      <c r="F16" s="8"/>
      <c r="G16" s="8">
        <v>1.2</v>
      </c>
      <c r="H16" s="8">
        <v>0.88</v>
      </c>
      <c r="I16" s="8"/>
      <c r="J16" s="8">
        <v>1</v>
      </c>
      <c r="K16" s="8">
        <v>1</v>
      </c>
      <c r="L16" s="8">
        <v>1</v>
      </c>
      <c r="M16" s="8"/>
      <c r="N16" s="8"/>
      <c r="O16" s="8"/>
      <c r="P16" s="8"/>
      <c r="Q16" s="8"/>
      <c r="R16" s="8"/>
      <c r="S16" s="8">
        <v>0.97499999999999998</v>
      </c>
      <c r="T16" s="8"/>
      <c r="U16" s="8">
        <v>1</v>
      </c>
      <c r="V16" s="8"/>
      <c r="W16" s="8"/>
      <c r="X16" s="8">
        <v>1</v>
      </c>
      <c r="Z16" s="8">
        <v>0.98111111111111127</v>
      </c>
      <c r="AA16" s="9">
        <f t="shared" si="1"/>
        <v>1.006875</v>
      </c>
      <c r="AB16" s="10">
        <f t="shared" si="0"/>
        <v>2.6259909399773296E-2</v>
      </c>
    </row>
    <row r="17" spans="1:28" ht="12.75" customHeight="1" x14ac:dyDescent="0.2">
      <c r="A17" s="7" t="s">
        <v>35</v>
      </c>
      <c r="B17" s="14" t="s">
        <v>26</v>
      </c>
      <c r="C17" s="8"/>
      <c r="D17" s="8"/>
      <c r="E17" s="8"/>
      <c r="F17" s="8"/>
      <c r="G17" s="8"/>
      <c r="H17" s="8">
        <v>1.03</v>
      </c>
      <c r="I17" s="11"/>
      <c r="J17" s="8">
        <v>1.02</v>
      </c>
      <c r="K17" s="8">
        <v>1</v>
      </c>
      <c r="L17" s="8">
        <v>1</v>
      </c>
      <c r="M17" s="8">
        <v>1.3</v>
      </c>
      <c r="N17" s="8"/>
      <c r="O17" s="8"/>
      <c r="P17" s="8"/>
      <c r="Q17" s="8"/>
      <c r="R17" s="8"/>
      <c r="S17" s="8">
        <v>1.05</v>
      </c>
      <c r="T17" s="8"/>
      <c r="U17" s="8">
        <v>1</v>
      </c>
      <c r="V17" s="8"/>
      <c r="W17" s="8"/>
      <c r="X17" s="8">
        <v>1.1000000000000001</v>
      </c>
      <c r="Z17" s="8">
        <v>0.97</v>
      </c>
      <c r="AA17" s="9">
        <f t="shared" si="1"/>
        <v>1.0625</v>
      </c>
      <c r="AB17" s="10">
        <f t="shared" si="0"/>
        <v>9.5360824742268147E-2</v>
      </c>
    </row>
    <row r="18" spans="1:28" ht="12.75" customHeight="1" x14ac:dyDescent="0.2">
      <c r="A18" s="7" t="s">
        <v>36</v>
      </c>
      <c r="B18" s="14" t="s">
        <v>26</v>
      </c>
      <c r="C18" s="8"/>
      <c r="D18" s="8"/>
      <c r="E18" s="8"/>
      <c r="F18" s="8"/>
      <c r="G18" s="8">
        <v>1.2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1.5</v>
      </c>
      <c r="V18" s="8"/>
      <c r="W18" s="8"/>
      <c r="X18" s="8"/>
      <c r="Z18" s="8">
        <v>1.1499999999999999</v>
      </c>
      <c r="AA18" s="9">
        <f t="shared" si="1"/>
        <v>1.35</v>
      </c>
      <c r="AB18" s="10">
        <f t="shared" si="0"/>
        <v>0.17391304347826098</v>
      </c>
    </row>
    <row r="19" spans="1:28" ht="12.75" customHeight="1" x14ac:dyDescent="0.2">
      <c r="A19" s="7" t="s">
        <v>38</v>
      </c>
      <c r="B19" s="14" t="s">
        <v>26</v>
      </c>
      <c r="C19" s="8"/>
      <c r="D19" s="8"/>
      <c r="E19" s="8"/>
      <c r="F19" s="8"/>
      <c r="G19" s="8">
        <v>2.8</v>
      </c>
      <c r="H19" s="8"/>
      <c r="I19" s="8"/>
      <c r="J19" s="8">
        <v>2.62</v>
      </c>
      <c r="K19" s="8"/>
      <c r="L19" s="8">
        <v>5</v>
      </c>
      <c r="M19" s="8"/>
      <c r="N19" s="8"/>
      <c r="O19" s="8"/>
      <c r="P19" s="8"/>
      <c r="Q19" s="8"/>
      <c r="R19" s="8"/>
      <c r="S19" s="8">
        <v>3</v>
      </c>
      <c r="T19" s="8"/>
      <c r="U19" s="8">
        <v>2.5</v>
      </c>
      <c r="V19" s="8"/>
      <c r="W19" s="8"/>
      <c r="X19" s="8">
        <v>2</v>
      </c>
      <c r="Z19" s="8">
        <v>2.54</v>
      </c>
      <c r="AA19" s="9">
        <f t="shared" si="1"/>
        <v>2.9866666666666668</v>
      </c>
      <c r="AB19" s="10">
        <f>AA19/Z19-1</f>
        <v>0.1758530183727034</v>
      </c>
    </row>
    <row r="20" spans="1:28" ht="12.75" customHeight="1" x14ac:dyDescent="0.2">
      <c r="A20" s="7" t="s">
        <v>106</v>
      </c>
      <c r="B20" s="14" t="s">
        <v>26</v>
      </c>
      <c r="C20" s="8"/>
      <c r="D20" s="8"/>
      <c r="E20" s="8"/>
      <c r="F20" s="8"/>
      <c r="G20" s="8"/>
      <c r="H20" s="8"/>
      <c r="I20" s="8"/>
      <c r="J20" s="8">
        <v>1.51</v>
      </c>
      <c r="K20" s="8">
        <v>1.38</v>
      </c>
      <c r="L20" s="8"/>
      <c r="M20" s="8"/>
      <c r="N20" s="8"/>
      <c r="O20" s="8"/>
      <c r="P20" s="8"/>
      <c r="Q20" s="8"/>
      <c r="R20" s="8"/>
      <c r="S20" s="8">
        <v>1.5</v>
      </c>
      <c r="T20" s="8">
        <v>1.75</v>
      </c>
      <c r="U20" s="8">
        <v>1.45</v>
      </c>
      <c r="V20" s="8"/>
      <c r="W20" s="8"/>
      <c r="X20" s="8">
        <v>1.25</v>
      </c>
      <c r="Z20" s="8">
        <v>1.5133333333333334</v>
      </c>
      <c r="AA20" s="9">
        <f t="shared" si="1"/>
        <v>1.4733333333333334</v>
      </c>
      <c r="AB20" s="10">
        <f>AA20/Z20-1</f>
        <v>-2.6431718061673992E-2</v>
      </c>
    </row>
    <row r="21" spans="1:28" ht="12.75" customHeight="1" x14ac:dyDescent="0.2">
      <c r="A21" s="7" t="s">
        <v>39</v>
      </c>
      <c r="B21" s="14" t="s">
        <v>26</v>
      </c>
      <c r="C21" s="8"/>
      <c r="D21" s="8"/>
      <c r="E21" s="8"/>
      <c r="F21" s="8"/>
      <c r="G21" s="8">
        <v>3.4</v>
      </c>
      <c r="H21" s="8"/>
      <c r="I21" s="8"/>
      <c r="J21" s="8"/>
      <c r="K21" s="8"/>
      <c r="L21" s="8">
        <v>10</v>
      </c>
      <c r="M21" s="8"/>
      <c r="N21" s="8"/>
      <c r="O21" s="8">
        <v>5</v>
      </c>
      <c r="P21" s="8">
        <v>6</v>
      </c>
      <c r="Q21" s="8"/>
      <c r="R21" s="8"/>
      <c r="S21" s="8"/>
      <c r="T21" s="8"/>
      <c r="U21" s="8"/>
      <c r="V21" s="8"/>
      <c r="W21" s="8">
        <v>3</v>
      </c>
      <c r="X21" s="8"/>
      <c r="Z21" s="8">
        <v>4.4799999999999995</v>
      </c>
      <c r="AA21" s="9">
        <f t="shared" si="1"/>
        <v>5.4799999999999995</v>
      </c>
      <c r="AB21" s="10">
        <f>AA21/Z21-1</f>
        <v>0.22321428571428581</v>
      </c>
    </row>
    <row r="22" spans="1:28" ht="12.75" customHeight="1" x14ac:dyDescent="0.2">
      <c r="A22" s="7" t="s">
        <v>40</v>
      </c>
      <c r="B22" s="14" t="s">
        <v>26</v>
      </c>
      <c r="C22" s="8"/>
      <c r="D22" s="8"/>
      <c r="E22" s="8"/>
      <c r="F22" s="8"/>
      <c r="G22" s="8">
        <v>3.3</v>
      </c>
      <c r="H22" s="8"/>
      <c r="I22" s="8"/>
      <c r="J22" s="8"/>
      <c r="K22" s="8"/>
      <c r="L22" s="8"/>
      <c r="M22" s="8"/>
      <c r="N22" s="8"/>
      <c r="O22" s="8">
        <v>5</v>
      </c>
      <c r="P22" s="8">
        <v>7</v>
      </c>
      <c r="Q22" s="8">
        <v>1.4</v>
      </c>
      <c r="R22" s="8"/>
      <c r="S22" s="8"/>
      <c r="T22" s="8"/>
      <c r="U22" s="8"/>
      <c r="V22" s="8"/>
      <c r="W22" s="8">
        <v>4</v>
      </c>
      <c r="X22" s="8"/>
      <c r="Z22" s="8">
        <v>3.9357142857142859</v>
      </c>
      <c r="AA22" s="9">
        <f t="shared" si="1"/>
        <v>4.1399999999999997</v>
      </c>
      <c r="AB22" s="10">
        <f>AA22/Z22-1</f>
        <v>5.1905626134301164E-2</v>
      </c>
    </row>
    <row r="23" spans="1:28" ht="12.75" customHeight="1" x14ac:dyDescent="0.2">
      <c r="A23" s="7" t="s">
        <v>41</v>
      </c>
      <c r="B23" s="14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>
        <v>25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>
        <v>2</v>
      </c>
      <c r="Z23" s="8">
        <v>1.8</v>
      </c>
      <c r="AA23" s="9">
        <f t="shared" si="1"/>
        <v>13.5</v>
      </c>
      <c r="AB23" s="10">
        <f>AA23/Z23-1</f>
        <v>6.5</v>
      </c>
    </row>
    <row r="24" spans="1:28" ht="12.75" customHeight="1" x14ac:dyDescent="0.2">
      <c r="A24" s="18"/>
      <c r="B24" s="1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Z24" s="8"/>
      <c r="AA24" s="9"/>
      <c r="AB24" s="10"/>
    </row>
    <row r="25" spans="1:28" ht="12.75" customHeight="1" thickBot="1" x14ac:dyDescent="0.25">
      <c r="A25" s="6" t="s">
        <v>94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Z25" s="6"/>
      <c r="AA25" s="6"/>
      <c r="AB25" s="6"/>
    </row>
    <row r="26" spans="1:28" ht="12.75" customHeight="1" x14ac:dyDescent="0.2">
      <c r="A26" s="7" t="s">
        <v>83</v>
      </c>
      <c r="B26" s="14" t="s">
        <v>26</v>
      </c>
      <c r="C26" s="8"/>
      <c r="D26" s="8"/>
      <c r="E26" s="8">
        <v>1.3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1.4</v>
      </c>
      <c r="Q26" s="8"/>
      <c r="R26" s="8"/>
      <c r="S26" s="8"/>
      <c r="T26" s="8"/>
      <c r="U26" s="8"/>
      <c r="V26" s="8"/>
      <c r="W26" s="8"/>
      <c r="X26" s="8"/>
      <c r="Z26" s="8">
        <v>1.3</v>
      </c>
      <c r="AA26" s="9">
        <f>AVERAGE(C26:X26)</f>
        <v>1.35</v>
      </c>
      <c r="AB26" s="10">
        <f>AA26/Z26-1</f>
        <v>3.8461538461538547E-2</v>
      </c>
    </row>
    <row r="27" spans="1:28" ht="12.75" customHeight="1" x14ac:dyDescent="0.2">
      <c r="A27" s="7" t="s">
        <v>105</v>
      </c>
      <c r="B27" s="14" t="s">
        <v>26</v>
      </c>
      <c r="C27" s="8"/>
      <c r="D27" s="8">
        <v>1.2</v>
      </c>
      <c r="E27" s="8">
        <v>1.4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1.3</v>
      </c>
      <c r="Q27" s="8"/>
      <c r="R27" s="8"/>
      <c r="S27" s="8"/>
      <c r="T27" s="8"/>
      <c r="U27" s="8"/>
      <c r="V27" s="8"/>
      <c r="W27" s="8"/>
      <c r="X27" s="8"/>
      <c r="Z27" s="8">
        <v>1.2999999999999998</v>
      </c>
      <c r="AA27" s="9">
        <f t="shared" ref="AA27:AA30" si="2">AVERAGE(C27:X27)</f>
        <v>1.2999999999999998</v>
      </c>
      <c r="AB27" s="10">
        <f t="shared" ref="AB27:AB30" si="3">AA27/Z27-1</f>
        <v>0</v>
      </c>
    </row>
    <row r="28" spans="1:28" ht="12.75" customHeight="1" x14ac:dyDescent="0.2">
      <c r="A28" s="7" t="s">
        <v>89</v>
      </c>
      <c r="B28" s="14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>
        <v>1.23</v>
      </c>
      <c r="V28" s="8"/>
      <c r="W28" s="8"/>
      <c r="X28" s="8"/>
      <c r="Z28" s="8">
        <v>1.23</v>
      </c>
      <c r="AA28" s="9">
        <f t="shared" si="2"/>
        <v>1.23</v>
      </c>
      <c r="AB28" s="10">
        <f t="shared" si="3"/>
        <v>0</v>
      </c>
    </row>
    <row r="29" spans="1:28" ht="12.75" customHeight="1" x14ac:dyDescent="0.2">
      <c r="A29" s="7" t="s">
        <v>107</v>
      </c>
      <c r="B29" s="14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1.25</v>
      </c>
      <c r="V29" s="8"/>
      <c r="W29" s="8"/>
      <c r="X29" s="8"/>
      <c r="Z29" s="8">
        <v>1.25</v>
      </c>
      <c r="AA29" s="9">
        <f t="shared" si="2"/>
        <v>1.25</v>
      </c>
      <c r="AB29" s="10">
        <f t="shared" si="3"/>
        <v>0</v>
      </c>
    </row>
    <row r="30" spans="1:28" ht="12.75" customHeight="1" x14ac:dyDescent="0.2">
      <c r="A30" s="7" t="s">
        <v>90</v>
      </c>
      <c r="B30" s="14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1.25</v>
      </c>
      <c r="V30" s="8"/>
      <c r="W30" s="8"/>
      <c r="X30" s="8"/>
      <c r="Z30" s="8">
        <v>1.25</v>
      </c>
      <c r="AA30" s="9">
        <f t="shared" si="2"/>
        <v>1.25</v>
      </c>
      <c r="AB30" s="10">
        <f t="shared" si="3"/>
        <v>0</v>
      </c>
    </row>
    <row r="31" spans="1:28" ht="12.75" customHeight="1" x14ac:dyDescent="0.2">
      <c r="A31" s="12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Z31" s="8"/>
      <c r="AA31" s="9"/>
      <c r="AB31" s="10"/>
    </row>
    <row r="32" spans="1:28" ht="14.65" customHeight="1" thickBot="1" x14ac:dyDescent="0.25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Z32" s="6"/>
      <c r="AA32" s="6"/>
      <c r="AB32" s="6"/>
    </row>
    <row r="33" spans="1:28" ht="12.75" customHeight="1" x14ac:dyDescent="0.2">
      <c r="A33" s="7" t="s">
        <v>74</v>
      </c>
      <c r="B33" s="14" t="s">
        <v>26</v>
      </c>
      <c r="C33" s="8">
        <v>4.1500000000000004</v>
      </c>
      <c r="D33" s="8"/>
      <c r="E33" s="8"/>
      <c r="F33" s="8"/>
      <c r="G33" s="8">
        <v>5</v>
      </c>
      <c r="H33" s="8"/>
      <c r="I33" s="8"/>
      <c r="J33" s="8">
        <v>3.64</v>
      </c>
      <c r="K33" s="8"/>
      <c r="L33" s="8">
        <v>5</v>
      </c>
      <c r="M33" s="8"/>
      <c r="N33" s="8"/>
      <c r="O33" s="8">
        <v>5</v>
      </c>
      <c r="P33" s="8">
        <v>5.5</v>
      </c>
      <c r="Q33" s="8"/>
      <c r="R33" s="8"/>
      <c r="S33" s="8">
        <v>3</v>
      </c>
      <c r="T33" s="8"/>
      <c r="U33" s="8"/>
      <c r="V33" s="8"/>
      <c r="W33" s="8"/>
      <c r="X33" s="8">
        <v>2.2000000000000002</v>
      </c>
      <c r="Z33" s="8">
        <v>4.1312499999999996</v>
      </c>
      <c r="AA33" s="9">
        <f>AVERAGE(C33:X33)</f>
        <v>4.1862500000000002</v>
      </c>
      <c r="AB33" s="10">
        <f>AA33/Z33-1</f>
        <v>1.3313161875945667E-2</v>
      </c>
    </row>
    <row r="34" spans="1:28" ht="12.75" customHeight="1" x14ac:dyDescent="0.2">
      <c r="A34" s="13"/>
      <c r="B34" s="1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Z34" s="8"/>
      <c r="AA34" s="9"/>
      <c r="AB34" s="10"/>
    </row>
    <row r="35" spans="1:28" ht="14.65" customHeight="1" thickBot="1" x14ac:dyDescent="0.25">
      <c r="A35" s="6" t="s">
        <v>91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Z35" s="6"/>
      <c r="AA35" s="6"/>
      <c r="AB35" s="6"/>
    </row>
    <row r="36" spans="1:28" ht="12.75" customHeight="1" x14ac:dyDescent="0.2">
      <c r="A36" s="7" t="s">
        <v>42</v>
      </c>
      <c r="B36" s="14" t="s">
        <v>43</v>
      </c>
      <c r="C36" s="8"/>
      <c r="D36" s="8"/>
      <c r="E36" s="8"/>
      <c r="F36" s="8"/>
      <c r="G36" s="8"/>
      <c r="H36" s="8">
        <v>15</v>
      </c>
      <c r="I36" s="8"/>
      <c r="J36" s="8">
        <v>15.27</v>
      </c>
      <c r="K36" s="8">
        <v>17.25</v>
      </c>
      <c r="L36" s="8"/>
      <c r="M36" s="8"/>
      <c r="N36" s="8">
        <v>9</v>
      </c>
      <c r="O36" s="8"/>
      <c r="P36" s="8"/>
      <c r="Q36" s="8"/>
      <c r="R36" s="8"/>
      <c r="S36" s="8"/>
      <c r="T36" s="8">
        <v>17</v>
      </c>
      <c r="U36" s="8"/>
      <c r="V36" s="8"/>
      <c r="W36" s="8"/>
      <c r="X36" s="8">
        <v>13</v>
      </c>
      <c r="Z36" s="8">
        <v>14.958333333333334</v>
      </c>
      <c r="AA36" s="9">
        <f>AVERAGE(C36:X36)</f>
        <v>14.42</v>
      </c>
      <c r="AB36" s="10">
        <f t="shared" ref="AB36:AB41" si="4">AA36/Z36-1</f>
        <v>-3.5988857938718755E-2</v>
      </c>
    </row>
    <row r="37" spans="1:28" ht="12.75" customHeight="1" x14ac:dyDescent="0.2">
      <c r="A37" s="7" t="s">
        <v>44</v>
      </c>
      <c r="B37" s="14" t="s">
        <v>43</v>
      </c>
      <c r="C37" s="8"/>
      <c r="D37" s="8"/>
      <c r="E37" s="8"/>
      <c r="F37" s="8"/>
      <c r="G37" s="8"/>
      <c r="H37" s="8"/>
      <c r="I37" s="8">
        <v>19.3</v>
      </c>
      <c r="J37" s="8">
        <v>22.85</v>
      </c>
      <c r="K37" s="8">
        <v>21.7</v>
      </c>
      <c r="L37" s="8"/>
      <c r="M37" s="8"/>
      <c r="N37" s="8">
        <v>17</v>
      </c>
      <c r="O37" s="8"/>
      <c r="P37" s="8"/>
      <c r="Q37" s="8"/>
      <c r="R37" s="8"/>
      <c r="S37" s="8">
        <v>22</v>
      </c>
      <c r="T37" s="8">
        <v>22</v>
      </c>
      <c r="U37" s="8">
        <v>19</v>
      </c>
      <c r="V37" s="8"/>
      <c r="W37" s="8"/>
      <c r="X37" s="8">
        <v>19.5</v>
      </c>
      <c r="Z37" s="8">
        <v>20.931249999999999</v>
      </c>
      <c r="AA37" s="9">
        <f t="shared" ref="AA37:AA41" si="5">AVERAGE(C37:X37)</f>
        <v>20.418750000000003</v>
      </c>
      <c r="AB37" s="10">
        <f t="shared" si="4"/>
        <v>-2.4484920871901905E-2</v>
      </c>
    </row>
    <row r="38" spans="1:28" ht="12.75" customHeight="1" x14ac:dyDescent="0.2">
      <c r="A38" s="7" t="s">
        <v>46</v>
      </c>
      <c r="B38" s="14" t="s">
        <v>104</v>
      </c>
      <c r="C38" s="8"/>
      <c r="D38" s="8"/>
      <c r="E38" s="8"/>
      <c r="F38" s="8"/>
      <c r="G38" s="8">
        <v>6</v>
      </c>
      <c r="H38" s="8"/>
      <c r="I38" s="8"/>
      <c r="J38" s="8"/>
      <c r="K38" s="8"/>
      <c r="L38" s="8"/>
      <c r="M38" s="8"/>
      <c r="N38" s="8"/>
      <c r="O38" s="8"/>
      <c r="P38" s="8"/>
      <c r="Q38" s="8">
        <v>3.5</v>
      </c>
      <c r="R38" s="8"/>
      <c r="S38" s="8"/>
      <c r="T38" s="8"/>
      <c r="U38" s="8"/>
      <c r="V38" s="8"/>
      <c r="W38" s="11">
        <v>6.8</v>
      </c>
      <c r="X38" s="8"/>
      <c r="Z38" s="11">
        <v>5.3875000000000002</v>
      </c>
      <c r="AA38" s="9">
        <f t="shared" si="5"/>
        <v>5.4333333333333336</v>
      </c>
      <c r="AB38" s="10">
        <f t="shared" si="4"/>
        <v>8.5073472544470174E-3</v>
      </c>
    </row>
    <row r="39" spans="1:28" ht="12.75" customHeight="1" x14ac:dyDescent="0.2">
      <c r="A39" s="7" t="s">
        <v>47</v>
      </c>
      <c r="B39" s="14" t="s">
        <v>45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>
        <v>4.5</v>
      </c>
      <c r="Q39" s="8"/>
      <c r="R39" s="11">
        <v>3</v>
      </c>
      <c r="S39" s="8"/>
      <c r="T39" s="8"/>
      <c r="U39" s="8"/>
      <c r="V39" s="8"/>
      <c r="W39" s="8"/>
      <c r="X39" s="8"/>
      <c r="Z39" s="11">
        <v>3.1</v>
      </c>
      <c r="AA39" s="9">
        <f t="shared" si="5"/>
        <v>3.75</v>
      </c>
      <c r="AB39" s="10">
        <f t="shared" si="4"/>
        <v>0.20967741935483875</v>
      </c>
    </row>
    <row r="40" spans="1:28" ht="12.75" customHeight="1" x14ac:dyDescent="0.2">
      <c r="A40" s="7" t="s">
        <v>48</v>
      </c>
      <c r="B40" s="14" t="s">
        <v>45</v>
      </c>
      <c r="C40" s="8"/>
      <c r="D40" s="8"/>
      <c r="E40" s="57"/>
      <c r="F40" s="5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Z40" s="11">
        <v>5</v>
      </c>
      <c r="AA40" s="9" t="e">
        <f t="shared" si="5"/>
        <v>#DIV/0!</v>
      </c>
      <c r="AB40" s="10" t="e">
        <f t="shared" si="4"/>
        <v>#DIV/0!</v>
      </c>
    </row>
    <row r="41" spans="1:28" ht="12.75" customHeight="1" x14ac:dyDescent="0.2">
      <c r="A41" s="7" t="s">
        <v>49</v>
      </c>
      <c r="B41" s="14" t="s">
        <v>45</v>
      </c>
      <c r="C41" s="11"/>
      <c r="D41" s="56"/>
      <c r="E41" s="58"/>
      <c r="F41" s="58"/>
      <c r="G41" s="8">
        <v>4</v>
      </c>
      <c r="H41" s="8">
        <v>3.85</v>
      </c>
      <c r="I41" s="8"/>
      <c r="J41" s="11"/>
      <c r="K41" s="11">
        <v>4.07</v>
      </c>
      <c r="L41" s="11"/>
      <c r="M41" s="11"/>
      <c r="N41" s="11">
        <v>3.5</v>
      </c>
      <c r="O41" s="8"/>
      <c r="P41" s="8"/>
      <c r="Q41" s="8"/>
      <c r="R41" s="8"/>
      <c r="S41" s="8"/>
      <c r="T41" s="8"/>
      <c r="U41" s="8">
        <v>4.13</v>
      </c>
      <c r="V41" s="8"/>
      <c r="W41" s="8"/>
      <c r="X41" s="8"/>
      <c r="Z41" s="11">
        <v>4.0019999999999998</v>
      </c>
      <c r="AA41" s="9">
        <f t="shared" si="5"/>
        <v>3.91</v>
      </c>
      <c r="AB41" s="10">
        <f t="shared" si="4"/>
        <v>-2.2988505747126298E-2</v>
      </c>
    </row>
    <row r="42" spans="1:28" ht="12.75" customHeight="1" x14ac:dyDescent="0.2">
      <c r="A42" s="7"/>
      <c r="B42" s="1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Z42" s="8"/>
      <c r="AA42" s="9"/>
      <c r="AB42" s="10"/>
    </row>
    <row r="43" spans="1:28" ht="14.65" customHeight="1" thickBot="1" x14ac:dyDescent="0.25">
      <c r="A43" s="20" t="s">
        <v>75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Z43" s="6"/>
      <c r="AA43" s="6"/>
      <c r="AB43" s="6"/>
    </row>
    <row r="44" spans="1:28" ht="12.75" customHeight="1" x14ac:dyDescent="0.2">
      <c r="A44" s="7" t="s">
        <v>76</v>
      </c>
      <c r="B44" s="14" t="s">
        <v>50</v>
      </c>
      <c r="C44" s="8"/>
      <c r="D44" s="11"/>
      <c r="E44" s="8"/>
      <c r="F44" s="8"/>
      <c r="G44" s="8"/>
      <c r="H44" s="8"/>
      <c r="I44" s="8">
        <v>420</v>
      </c>
      <c r="J44" s="8">
        <v>475</v>
      </c>
      <c r="K44" s="8">
        <v>400</v>
      </c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>
        <v>420</v>
      </c>
      <c r="Z44" s="8">
        <v>425</v>
      </c>
      <c r="AA44" s="9">
        <f>AVERAGE(C44:X44)</f>
        <v>428.75</v>
      </c>
      <c r="AB44" s="10">
        <f t="shared" ref="AB44:AB60" si="6">AA44/Z44-1</f>
        <v>8.8235294117646745E-3</v>
      </c>
    </row>
    <row r="45" spans="1:28" ht="12.75" customHeight="1" x14ac:dyDescent="0.2">
      <c r="A45" s="27" t="s">
        <v>77</v>
      </c>
      <c r="B45" s="14" t="s">
        <v>50</v>
      </c>
      <c r="C45" s="8">
        <v>67</v>
      </c>
      <c r="D45" s="8">
        <v>90</v>
      </c>
      <c r="E45" s="11"/>
      <c r="F45" s="11"/>
      <c r="G45" s="8">
        <v>100</v>
      </c>
      <c r="H45" s="11">
        <v>49.25</v>
      </c>
      <c r="I45" s="8"/>
      <c r="J45" s="8">
        <v>47.1</v>
      </c>
      <c r="K45" s="8"/>
      <c r="L45" s="11">
        <v>55</v>
      </c>
      <c r="M45" s="8">
        <v>100</v>
      </c>
      <c r="N45" s="8"/>
      <c r="O45" s="8"/>
      <c r="P45" s="8"/>
      <c r="Q45" s="8"/>
      <c r="R45" s="8"/>
      <c r="S45" s="11">
        <v>30</v>
      </c>
      <c r="T45" s="8"/>
      <c r="U45" s="11">
        <v>61.987499999999997</v>
      </c>
      <c r="V45" s="8"/>
      <c r="W45" s="8"/>
      <c r="X45" s="11">
        <v>45</v>
      </c>
      <c r="Z45" s="8">
        <v>62.088164251207722</v>
      </c>
      <c r="AA45" s="9">
        <f t="shared" ref="AA45:AA57" si="7">AVERAGE(C45:X45)</f>
        <v>64.533749999999998</v>
      </c>
      <c r="AB45" s="10">
        <f t="shared" si="6"/>
        <v>3.9388920227975799E-2</v>
      </c>
    </row>
    <row r="46" spans="1:28" ht="12.75" customHeight="1" x14ac:dyDescent="0.2">
      <c r="A46" s="27" t="s">
        <v>78</v>
      </c>
      <c r="B46" s="14" t="s">
        <v>50</v>
      </c>
      <c r="C46" s="8">
        <v>75</v>
      </c>
      <c r="D46" s="8">
        <v>90</v>
      </c>
      <c r="E46" s="11"/>
      <c r="F46" s="11"/>
      <c r="G46" s="8">
        <v>170</v>
      </c>
      <c r="H46" s="8">
        <v>63.96</v>
      </c>
      <c r="I46" s="8">
        <v>55</v>
      </c>
      <c r="J46" s="8">
        <v>58.7</v>
      </c>
      <c r="K46" s="8">
        <v>65</v>
      </c>
      <c r="L46" s="11">
        <v>75</v>
      </c>
      <c r="M46" s="8">
        <v>170</v>
      </c>
      <c r="N46" s="8"/>
      <c r="O46" s="8"/>
      <c r="P46" s="8"/>
      <c r="Q46" s="8"/>
      <c r="R46" s="8"/>
      <c r="S46" s="11">
        <v>30</v>
      </c>
      <c r="T46" s="8"/>
      <c r="U46" s="11">
        <v>76.777500000000003</v>
      </c>
      <c r="V46" s="8"/>
      <c r="W46" s="8"/>
      <c r="X46" s="8">
        <v>59</v>
      </c>
      <c r="Z46" s="8">
        <v>77.855731225296438</v>
      </c>
      <c r="AA46" s="9">
        <f t="shared" si="7"/>
        <v>82.369791666666671</v>
      </c>
      <c r="AB46" s="10">
        <f t="shared" si="6"/>
        <v>5.7979809197444832E-2</v>
      </c>
    </row>
    <row r="47" spans="1:28" ht="12.75" customHeight="1" x14ac:dyDescent="0.2">
      <c r="A47" s="7" t="s">
        <v>51</v>
      </c>
      <c r="B47" s="14" t="s">
        <v>50</v>
      </c>
      <c r="C47" s="11">
        <v>87</v>
      </c>
      <c r="D47" s="11">
        <v>90</v>
      </c>
      <c r="E47" s="11">
        <v>191.3</v>
      </c>
      <c r="F47" s="11"/>
      <c r="G47" s="11">
        <v>190</v>
      </c>
      <c r="H47" s="11">
        <v>80.209999999999994</v>
      </c>
      <c r="I47" s="11"/>
      <c r="J47" s="11">
        <v>105.8</v>
      </c>
      <c r="K47" s="11">
        <v>90</v>
      </c>
      <c r="L47" s="11">
        <v>170</v>
      </c>
      <c r="M47" s="11">
        <v>190</v>
      </c>
      <c r="N47" s="11"/>
      <c r="O47" s="11"/>
      <c r="P47" s="11"/>
      <c r="Q47" s="11"/>
      <c r="R47" s="11">
        <v>155</v>
      </c>
      <c r="S47" s="11">
        <v>47.5</v>
      </c>
      <c r="T47" s="11">
        <v>100</v>
      </c>
      <c r="U47" s="11">
        <v>91.35</v>
      </c>
      <c r="V47" s="8"/>
      <c r="W47" s="8">
        <v>145</v>
      </c>
      <c r="X47" s="8">
        <v>67</v>
      </c>
      <c r="Z47" s="8">
        <v>108.34799033816425</v>
      </c>
      <c r="AA47" s="9">
        <f t="shared" si="7"/>
        <v>120.01066666666665</v>
      </c>
      <c r="AB47" s="10">
        <f t="shared" si="6"/>
        <v>0.10764091047837709</v>
      </c>
    </row>
    <row r="48" spans="1:28" ht="12.75" customHeight="1" x14ac:dyDescent="0.2">
      <c r="A48" s="7" t="s">
        <v>52</v>
      </c>
      <c r="B48" s="14" t="s">
        <v>50</v>
      </c>
      <c r="C48" s="11">
        <v>122</v>
      </c>
      <c r="D48" s="11">
        <v>110</v>
      </c>
      <c r="E48" s="11">
        <v>213</v>
      </c>
      <c r="F48" s="11"/>
      <c r="G48" s="11">
        <v>250</v>
      </c>
      <c r="H48" s="11">
        <v>108.89</v>
      </c>
      <c r="I48" s="11">
        <v>140</v>
      </c>
      <c r="J48" s="11">
        <v>142.6</v>
      </c>
      <c r="K48" s="11">
        <v>112</v>
      </c>
      <c r="L48" s="11">
        <v>190</v>
      </c>
      <c r="M48" s="11">
        <v>250</v>
      </c>
      <c r="N48" s="11">
        <v>140</v>
      </c>
      <c r="O48" s="11">
        <v>150</v>
      </c>
      <c r="P48" s="11">
        <v>145</v>
      </c>
      <c r="Q48" s="11"/>
      <c r="R48" s="11">
        <v>185</v>
      </c>
      <c r="S48" s="11">
        <v>95.055000000000007</v>
      </c>
      <c r="T48" s="11">
        <v>135</v>
      </c>
      <c r="U48" s="11">
        <v>105.1221</v>
      </c>
      <c r="V48" s="8"/>
      <c r="W48" s="8">
        <v>180</v>
      </c>
      <c r="X48" s="8">
        <v>92</v>
      </c>
      <c r="Z48" s="8">
        <v>139.17434019832189</v>
      </c>
      <c r="AA48" s="9">
        <f t="shared" si="7"/>
        <v>150.8245842105263</v>
      </c>
      <c r="AB48" s="10">
        <f t="shared" si="6"/>
        <v>8.3709712549044246E-2</v>
      </c>
    </row>
    <row r="49" spans="1:28" ht="12.75" customHeight="1" x14ac:dyDescent="0.2">
      <c r="A49" s="7" t="s">
        <v>53</v>
      </c>
      <c r="B49" s="14" t="s">
        <v>50</v>
      </c>
      <c r="C49" s="11">
        <v>147</v>
      </c>
      <c r="D49" s="11">
        <v>115</v>
      </c>
      <c r="E49" s="11"/>
      <c r="F49" s="11"/>
      <c r="G49" s="11"/>
      <c r="H49" s="11">
        <v>128.54</v>
      </c>
      <c r="I49" s="11">
        <v>153</v>
      </c>
      <c r="J49" s="11">
        <v>176.2</v>
      </c>
      <c r="K49" s="11"/>
      <c r="L49" s="11">
        <v>200</v>
      </c>
      <c r="M49" s="11"/>
      <c r="N49" s="11">
        <v>150</v>
      </c>
      <c r="O49" s="11"/>
      <c r="P49" s="11">
        <v>170</v>
      </c>
      <c r="Q49" s="11"/>
      <c r="R49" s="11">
        <v>215</v>
      </c>
      <c r="S49" s="11"/>
      <c r="T49" s="11">
        <v>180</v>
      </c>
      <c r="U49" s="11">
        <v>131.5179</v>
      </c>
      <c r="V49" s="11"/>
      <c r="W49" s="8">
        <v>205</v>
      </c>
      <c r="X49" s="11">
        <v>115</v>
      </c>
      <c r="Z49" s="8">
        <v>161.00857971014494</v>
      </c>
      <c r="AA49" s="9">
        <f t="shared" si="7"/>
        <v>160.48137692307694</v>
      </c>
      <c r="AB49" s="10">
        <f t="shared" si="6"/>
        <v>-3.2743769805131384E-3</v>
      </c>
    </row>
    <row r="50" spans="1:28" ht="12.75" customHeight="1" x14ac:dyDescent="0.2">
      <c r="A50" s="7" t="s">
        <v>79</v>
      </c>
      <c r="B50" s="14" t="s">
        <v>50</v>
      </c>
      <c r="C50" s="11">
        <v>75</v>
      </c>
      <c r="D50" s="11"/>
      <c r="E50" s="11"/>
      <c r="F50" s="11"/>
      <c r="G50" s="11"/>
      <c r="H50" s="11">
        <v>54.17</v>
      </c>
      <c r="I50" s="11"/>
      <c r="J50" s="11">
        <v>65.2</v>
      </c>
      <c r="K50" s="11">
        <v>40</v>
      </c>
      <c r="L50" s="11">
        <v>60</v>
      </c>
      <c r="M50" s="11"/>
      <c r="N50" s="11"/>
      <c r="O50" s="11"/>
      <c r="P50" s="11"/>
      <c r="Q50" s="11"/>
      <c r="R50" s="11"/>
      <c r="S50" s="11">
        <v>42.936666666666667</v>
      </c>
      <c r="T50" s="11"/>
      <c r="U50" s="11">
        <v>87</v>
      </c>
      <c r="V50" s="11"/>
      <c r="W50" s="8"/>
      <c r="X50" s="11">
        <v>68</v>
      </c>
      <c r="Z50" s="8">
        <v>62.422222222222217</v>
      </c>
      <c r="AA50" s="9">
        <f t="shared" si="7"/>
        <v>61.538333333333334</v>
      </c>
      <c r="AB50" s="10">
        <f t="shared" si="6"/>
        <v>-1.4159843360626478E-2</v>
      </c>
    </row>
    <row r="51" spans="1:28" ht="12.75" customHeight="1" x14ac:dyDescent="0.2">
      <c r="A51" s="7" t="s">
        <v>84</v>
      </c>
      <c r="B51" s="14" t="s">
        <v>50</v>
      </c>
      <c r="C51" s="11">
        <v>94</v>
      </c>
      <c r="D51" s="11"/>
      <c r="E51" s="11"/>
      <c r="F51" s="11"/>
      <c r="G51" s="11">
        <v>220</v>
      </c>
      <c r="H51" s="11">
        <v>86.14</v>
      </c>
      <c r="I51" s="11">
        <v>86</v>
      </c>
      <c r="J51" s="11">
        <v>119.3</v>
      </c>
      <c r="K51" s="11">
        <v>130</v>
      </c>
      <c r="L51" s="11">
        <v>120</v>
      </c>
      <c r="M51" s="11">
        <v>220</v>
      </c>
      <c r="N51" s="11">
        <v>150</v>
      </c>
      <c r="O51" s="11"/>
      <c r="P51" s="11"/>
      <c r="Q51" s="11"/>
      <c r="R51" s="11"/>
      <c r="S51" s="11">
        <v>102.94333333333333</v>
      </c>
      <c r="T51" s="11">
        <v>100</v>
      </c>
      <c r="U51" s="11">
        <v>105.5</v>
      </c>
      <c r="V51" s="11"/>
      <c r="W51" s="11"/>
      <c r="X51" s="11">
        <v>116</v>
      </c>
      <c r="Z51" s="8">
        <v>117.42338461538461</v>
      </c>
      <c r="AA51" s="9">
        <f t="shared" si="7"/>
        <v>126.91410256410258</v>
      </c>
      <c r="AB51" s="10">
        <f t="shared" si="6"/>
        <v>8.0824769102035621E-2</v>
      </c>
    </row>
    <row r="52" spans="1:28" ht="12.75" customHeight="1" x14ac:dyDescent="0.2">
      <c r="A52" s="7" t="s">
        <v>54</v>
      </c>
      <c r="B52" s="14" t="s">
        <v>50</v>
      </c>
      <c r="C52" s="11">
        <v>112</v>
      </c>
      <c r="D52" s="11"/>
      <c r="E52" s="11"/>
      <c r="F52" s="11"/>
      <c r="G52" s="11">
        <v>335</v>
      </c>
      <c r="H52" s="11">
        <v>147.72999999999999</v>
      </c>
      <c r="I52" s="11">
        <v>177</v>
      </c>
      <c r="J52" s="11">
        <v>199.1</v>
      </c>
      <c r="K52" s="11">
        <v>208</v>
      </c>
      <c r="L52" s="11">
        <v>195</v>
      </c>
      <c r="M52" s="11">
        <v>335</v>
      </c>
      <c r="N52" s="11">
        <v>270</v>
      </c>
      <c r="O52" s="11"/>
      <c r="P52" s="11"/>
      <c r="Q52" s="11"/>
      <c r="R52" s="11"/>
      <c r="S52" s="11">
        <v>195.78874999999999</v>
      </c>
      <c r="T52" s="11">
        <v>200</v>
      </c>
      <c r="U52" s="11">
        <v>160</v>
      </c>
      <c r="V52" s="11"/>
      <c r="W52" s="11"/>
      <c r="X52" s="11">
        <v>158</v>
      </c>
      <c r="Z52" s="8">
        <v>194.35043956043955</v>
      </c>
      <c r="AA52" s="9">
        <f t="shared" si="7"/>
        <v>207.12451923076924</v>
      </c>
      <c r="AB52" s="10">
        <f t="shared" si="6"/>
        <v>6.5727042857328666E-2</v>
      </c>
    </row>
    <row r="53" spans="1:28" ht="12.75" customHeight="1" x14ac:dyDescent="0.2">
      <c r="A53" s="7" t="s">
        <v>55</v>
      </c>
      <c r="B53" s="14" t="s">
        <v>50</v>
      </c>
      <c r="C53" s="11">
        <v>150</v>
      </c>
      <c r="D53" s="11"/>
      <c r="E53" s="11"/>
      <c r="F53" s="11"/>
      <c r="G53" s="11">
        <v>365</v>
      </c>
      <c r="H53" s="11">
        <v>226.36</v>
      </c>
      <c r="I53" s="11">
        <v>250</v>
      </c>
      <c r="J53" s="11">
        <v>295.5</v>
      </c>
      <c r="K53" s="11">
        <v>295</v>
      </c>
      <c r="L53" s="11">
        <v>285</v>
      </c>
      <c r="M53" s="11">
        <v>345</v>
      </c>
      <c r="N53" s="11">
        <v>320</v>
      </c>
      <c r="O53" s="11"/>
      <c r="P53" s="11"/>
      <c r="Q53" s="11"/>
      <c r="R53" s="11"/>
      <c r="S53" s="11">
        <v>294.96785714285716</v>
      </c>
      <c r="T53" s="11">
        <v>265</v>
      </c>
      <c r="U53" s="11">
        <v>267.38</v>
      </c>
      <c r="V53" s="11"/>
      <c r="W53" s="8"/>
      <c r="X53" s="11">
        <v>239</v>
      </c>
      <c r="Z53" s="8">
        <v>265.71288461538461</v>
      </c>
      <c r="AA53" s="9">
        <f t="shared" si="7"/>
        <v>276.78521978021979</v>
      </c>
      <c r="AB53" s="10">
        <f t="shared" si="6"/>
        <v>4.1670298302854958E-2</v>
      </c>
    </row>
    <row r="54" spans="1:28" ht="12.75" customHeight="1" x14ac:dyDescent="0.2">
      <c r="A54" s="7" t="s">
        <v>56</v>
      </c>
      <c r="B54" s="14" t="s">
        <v>50</v>
      </c>
      <c r="C54" s="11">
        <v>182</v>
      </c>
      <c r="D54" s="11"/>
      <c r="E54" s="11"/>
      <c r="F54" s="11"/>
      <c r="G54" s="11">
        <v>410</v>
      </c>
      <c r="H54" s="11">
        <v>350.66</v>
      </c>
      <c r="I54" s="11"/>
      <c r="J54" s="11">
        <v>382.3</v>
      </c>
      <c r="K54" s="11">
        <v>398</v>
      </c>
      <c r="L54" s="11">
        <v>390</v>
      </c>
      <c r="M54" s="11">
        <v>410</v>
      </c>
      <c r="N54" s="11">
        <v>360</v>
      </c>
      <c r="O54" s="11"/>
      <c r="P54" s="11"/>
      <c r="Q54" s="11"/>
      <c r="R54" s="11"/>
      <c r="S54" s="11">
        <v>370.40199999999999</v>
      </c>
      <c r="T54" s="11">
        <v>350</v>
      </c>
      <c r="U54" s="11">
        <v>374.38</v>
      </c>
      <c r="V54" s="11"/>
      <c r="W54" s="8"/>
      <c r="X54" s="11">
        <v>340</v>
      </c>
      <c r="Z54" s="8">
        <v>352.7791666666667</v>
      </c>
      <c r="AA54" s="9">
        <f t="shared" si="7"/>
        <v>359.81183333333337</v>
      </c>
      <c r="AB54" s="10">
        <f t="shared" si="6"/>
        <v>1.993503962582821E-2</v>
      </c>
    </row>
    <row r="55" spans="1:28" s="23" customFormat="1" ht="22.5" x14ac:dyDescent="0.2">
      <c r="A55" s="65" t="s">
        <v>103</v>
      </c>
      <c r="B55" s="14" t="s">
        <v>50</v>
      </c>
      <c r="C55" s="61">
        <v>90</v>
      </c>
      <c r="D55" s="61"/>
      <c r="E55" s="61"/>
      <c r="F55" s="61"/>
      <c r="G55" s="61">
        <v>110</v>
      </c>
      <c r="H55" s="61">
        <v>100</v>
      </c>
      <c r="I55" s="61"/>
      <c r="J55" s="61"/>
      <c r="K55" s="61">
        <v>73</v>
      </c>
      <c r="L55" s="61"/>
      <c r="M55" s="61"/>
      <c r="N55" s="61"/>
      <c r="O55" s="61"/>
      <c r="P55" s="61"/>
      <c r="Q55" s="61"/>
      <c r="R55" s="61"/>
      <c r="S55" s="61"/>
      <c r="T55" s="61"/>
      <c r="U55" s="61">
        <v>120.33</v>
      </c>
      <c r="V55" s="61"/>
      <c r="W55" s="62"/>
      <c r="X55" s="61">
        <v>90</v>
      </c>
      <c r="Z55" s="61">
        <v>94.11</v>
      </c>
      <c r="AA55" s="63">
        <f t="shared" si="7"/>
        <v>97.22166666666665</v>
      </c>
      <c r="AB55" s="64">
        <f t="shared" si="6"/>
        <v>3.3064144795097672E-2</v>
      </c>
    </row>
    <row r="56" spans="1:28" s="23" customFormat="1" ht="22.5" x14ac:dyDescent="0.2">
      <c r="A56" s="66" t="s">
        <v>81</v>
      </c>
      <c r="B56" s="15" t="s">
        <v>50</v>
      </c>
      <c r="C56" s="61">
        <v>115</v>
      </c>
      <c r="D56" s="61">
        <v>90</v>
      </c>
      <c r="E56" s="62"/>
      <c r="F56" s="62"/>
      <c r="G56" s="62">
        <v>185</v>
      </c>
      <c r="H56" s="62">
        <v>90</v>
      </c>
      <c r="I56" s="62"/>
      <c r="J56" s="61"/>
      <c r="K56" s="62"/>
      <c r="L56" s="62">
        <v>110</v>
      </c>
      <c r="M56" s="62">
        <v>100</v>
      </c>
      <c r="N56" s="62"/>
      <c r="O56" s="61">
        <v>113.18</v>
      </c>
      <c r="P56" s="61"/>
      <c r="Q56" s="61"/>
      <c r="R56" s="61"/>
      <c r="S56" s="61"/>
      <c r="T56" s="61"/>
      <c r="U56" s="61"/>
      <c r="V56" s="61"/>
      <c r="W56" s="62"/>
      <c r="X56" s="61">
        <v>86</v>
      </c>
      <c r="Z56" s="67">
        <v>104.02250000000001</v>
      </c>
      <c r="AA56" s="63">
        <f t="shared" si="7"/>
        <v>111.14750000000001</v>
      </c>
      <c r="AB56" s="64">
        <f>AA56/Z56-1</f>
        <v>6.8494796798769464E-2</v>
      </c>
    </row>
    <row r="57" spans="1:28" ht="12.75" customHeight="1" x14ac:dyDescent="0.2">
      <c r="A57" s="21" t="s">
        <v>80</v>
      </c>
      <c r="B57" s="15" t="s">
        <v>50</v>
      </c>
      <c r="C57" s="11"/>
      <c r="D57" s="8"/>
      <c r="E57" s="8"/>
      <c r="F57" s="8"/>
      <c r="G57" s="8">
        <v>160</v>
      </c>
      <c r="H57" s="8"/>
      <c r="I57" s="8"/>
      <c r="J57" s="8"/>
      <c r="K57" s="11">
        <v>90</v>
      </c>
      <c r="L57" s="8"/>
      <c r="M57" s="8"/>
      <c r="N57" s="8"/>
      <c r="O57" s="11"/>
      <c r="P57" s="11"/>
      <c r="Q57" s="11"/>
      <c r="R57" s="11"/>
      <c r="S57" s="11"/>
      <c r="T57" s="11"/>
      <c r="U57" s="11"/>
      <c r="V57" s="11"/>
      <c r="W57" s="8"/>
      <c r="X57" s="11"/>
      <c r="Z57" s="11">
        <v>125</v>
      </c>
      <c r="AA57" s="9">
        <f t="shared" si="7"/>
        <v>125</v>
      </c>
      <c r="AB57" s="10">
        <f t="shared" si="6"/>
        <v>0</v>
      </c>
    </row>
    <row r="58" spans="1:28" ht="12.75" customHeight="1" x14ac:dyDescent="0.2">
      <c r="A58" s="7" t="s">
        <v>92</v>
      </c>
      <c r="B58" s="15" t="s">
        <v>50</v>
      </c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Z58" s="11">
        <v>198.53761953601955</v>
      </c>
      <c r="AA58" s="8">
        <f>AVERAGE(AA50:AA54)</f>
        <v>206.43480164835168</v>
      </c>
      <c r="AB58" s="10">
        <f t="shared" si="6"/>
        <v>3.9776754303732398E-2</v>
      </c>
    </row>
    <row r="59" spans="1:28" ht="12.75" customHeight="1" x14ac:dyDescent="0.2">
      <c r="A59" s="7" t="s">
        <v>93</v>
      </c>
      <c r="B59" s="15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Z59" s="11">
        <v>109.69496114462704</v>
      </c>
      <c r="AA59" s="8">
        <f>AVERAGE(AA45:AA49)</f>
        <v>115.64403389338732</v>
      </c>
      <c r="AB59" s="10">
        <f t="shared" si="6"/>
        <v>5.4232871653208781E-2</v>
      </c>
    </row>
    <row r="60" spans="1:28" ht="12.75" customHeight="1" x14ac:dyDescent="0.2">
      <c r="A60" s="52" t="s">
        <v>102</v>
      </c>
      <c r="B60" s="15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Z60" s="11">
        <v>71.790000000000006</v>
      </c>
      <c r="AA60" s="11">
        <v>72.89</v>
      </c>
      <c r="AB60" s="10">
        <f t="shared" si="6"/>
        <v>1.5322468310349446E-2</v>
      </c>
    </row>
    <row r="61" spans="1:28" ht="12.75" customHeight="1" x14ac:dyDescent="0.2">
      <c r="A61" s="13"/>
      <c r="B61" s="15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Z61" s="11"/>
      <c r="AA61" s="8"/>
      <c r="AB61" s="10"/>
    </row>
    <row r="62" spans="1:28" ht="14.65" customHeight="1" thickBot="1" x14ac:dyDescent="0.25">
      <c r="A62" s="20" t="s">
        <v>112</v>
      </c>
      <c r="B62" s="2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Z62" s="6"/>
      <c r="AA62" s="6"/>
      <c r="AB62" s="6"/>
    </row>
    <row r="63" spans="1:28" ht="12.75" customHeight="1" x14ac:dyDescent="0.2">
      <c r="A63" s="29" t="s">
        <v>82</v>
      </c>
      <c r="B63" s="28" t="s">
        <v>50</v>
      </c>
      <c r="C63" s="8">
        <v>134</v>
      </c>
      <c r="D63" s="11">
        <v>230</v>
      </c>
      <c r="E63" s="11">
        <v>235</v>
      </c>
      <c r="F63" s="11"/>
      <c r="G63" s="8">
        <v>143</v>
      </c>
      <c r="H63" s="8">
        <v>153</v>
      </c>
      <c r="I63" s="8"/>
      <c r="J63" s="8">
        <v>144.30000000000001</v>
      </c>
      <c r="K63" s="8">
        <v>148</v>
      </c>
      <c r="L63" s="8">
        <v>140</v>
      </c>
      <c r="M63" s="8">
        <v>100</v>
      </c>
      <c r="N63" s="8">
        <v>150</v>
      </c>
      <c r="O63" s="8">
        <v>165</v>
      </c>
      <c r="P63" s="31">
        <v>230</v>
      </c>
      <c r="Q63" s="8"/>
      <c r="R63" s="8">
        <v>130</v>
      </c>
      <c r="S63" s="11"/>
      <c r="T63" s="8"/>
      <c r="U63" s="11">
        <v>140.30440000000002</v>
      </c>
      <c r="V63" s="8">
        <v>170</v>
      </c>
      <c r="W63" s="11">
        <v>280</v>
      </c>
      <c r="X63" s="8">
        <v>93</v>
      </c>
      <c r="Z63" s="8">
        <v>157.95279269602577</v>
      </c>
      <c r="AA63" s="9">
        <f>AVERAGE(C63:X63)</f>
        <v>163.85908235294119</v>
      </c>
      <c r="AB63" s="10">
        <f>AA63/Z63-1</f>
        <v>3.739275232874073E-2</v>
      </c>
    </row>
    <row r="64" spans="1:28" ht="12.75" customHeight="1" x14ac:dyDescent="0.2">
      <c r="A64" s="13"/>
      <c r="B64" s="16"/>
      <c r="C64" s="8"/>
      <c r="D64" s="8"/>
      <c r="E64" s="11"/>
      <c r="F64" s="1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Z64" s="8"/>
      <c r="AA64" s="9"/>
      <c r="AB64" s="10"/>
    </row>
    <row r="65" spans="1:28" ht="14.65" customHeight="1" thickBot="1" x14ac:dyDescent="0.25">
      <c r="A65" s="6" t="s">
        <v>109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Z65" s="6"/>
      <c r="AA65" s="6"/>
      <c r="AB65" s="6"/>
    </row>
    <row r="66" spans="1:28" s="23" customFormat="1" ht="28.5" customHeight="1" x14ac:dyDescent="0.2">
      <c r="A66" s="60" t="s">
        <v>108</v>
      </c>
      <c r="B66" s="14" t="s">
        <v>57</v>
      </c>
      <c r="C66" s="61">
        <v>220</v>
      </c>
      <c r="D66" s="61"/>
      <c r="E66" s="62"/>
      <c r="F66" s="62"/>
      <c r="G66" s="62">
        <v>148</v>
      </c>
      <c r="H66" s="62">
        <v>170</v>
      </c>
      <c r="I66" s="62"/>
      <c r="J66" s="61">
        <v>206.8</v>
      </c>
      <c r="K66" s="61"/>
      <c r="L66" s="61">
        <v>190</v>
      </c>
      <c r="M66" s="61"/>
      <c r="N66" s="61"/>
      <c r="O66" s="62"/>
      <c r="P66" s="61"/>
      <c r="Q66" s="62"/>
      <c r="R66" s="61"/>
      <c r="S66" s="62"/>
      <c r="T66" s="62"/>
      <c r="U66" s="62">
        <v>232.88</v>
      </c>
      <c r="V66" s="61"/>
      <c r="W66" s="61"/>
      <c r="X66" s="62"/>
      <c r="Z66" s="62">
        <v>198.58199999999999</v>
      </c>
      <c r="AA66" s="63">
        <f>AVERAGE(C66:X66)</f>
        <v>194.61333333333332</v>
      </c>
      <c r="AB66" s="64">
        <f>AA66/Z66-1</f>
        <v>-1.9985027176011361E-2</v>
      </c>
    </row>
    <row r="67" spans="1:28" ht="15" customHeight="1" x14ac:dyDescent="0.2">
      <c r="A67" s="60" t="s">
        <v>110</v>
      </c>
      <c r="B67" s="14" t="s">
        <v>57</v>
      </c>
      <c r="C67" s="11">
        <v>150</v>
      </c>
      <c r="D67" s="11">
        <v>360</v>
      </c>
      <c r="E67" s="11"/>
      <c r="F67" s="11"/>
      <c r="G67" s="8">
        <v>200</v>
      </c>
      <c r="H67" s="8">
        <v>153.75</v>
      </c>
      <c r="I67" s="8">
        <v>200</v>
      </c>
      <c r="J67" s="11">
        <v>147.30000000000001</v>
      </c>
      <c r="K67" s="11">
        <v>135</v>
      </c>
      <c r="L67" s="11">
        <v>140</v>
      </c>
      <c r="M67" s="11">
        <v>180</v>
      </c>
      <c r="N67" s="11">
        <v>135</v>
      </c>
      <c r="O67" s="11">
        <v>220</v>
      </c>
      <c r="P67" s="8">
        <v>340</v>
      </c>
      <c r="Q67" s="8"/>
      <c r="R67" s="11">
        <v>110</v>
      </c>
      <c r="S67" s="8">
        <v>126.67</v>
      </c>
      <c r="T67" s="8">
        <v>150</v>
      </c>
      <c r="U67" s="8">
        <v>151.38999999999999</v>
      </c>
      <c r="V67" s="11">
        <v>290</v>
      </c>
      <c r="W67" s="11">
        <v>240</v>
      </c>
      <c r="X67" s="8">
        <v>118</v>
      </c>
      <c r="Z67" s="8">
        <v>181.73349999999999</v>
      </c>
      <c r="AA67" s="9">
        <f>AVERAGE(C67:X67)</f>
        <v>186.69</v>
      </c>
      <c r="AB67" s="10">
        <f>AA67/Z67-1</f>
        <v>2.7273452610553361E-2</v>
      </c>
    </row>
    <row r="68" spans="1:28" ht="12.75" customHeight="1" x14ac:dyDescent="0.2">
      <c r="A68" s="7"/>
      <c r="B68" s="14"/>
      <c r="C68" s="8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8"/>
      <c r="P68" s="8"/>
      <c r="Q68" s="8"/>
      <c r="R68" s="8"/>
      <c r="S68" s="8"/>
      <c r="T68" s="8"/>
      <c r="U68" s="8"/>
      <c r="V68" s="11"/>
      <c r="W68" s="11"/>
      <c r="X68" s="11"/>
      <c r="Z68" s="8"/>
      <c r="AA68" s="9"/>
      <c r="AB68" s="10"/>
    </row>
    <row r="69" spans="1:28" x14ac:dyDescent="0.2"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</sheetData>
  <sheetProtection selectLockedCells="1" selectUnlockedCells="1"/>
  <mergeCells count="7">
    <mergeCell ref="C61:X61"/>
    <mergeCell ref="A2:AB2"/>
    <mergeCell ref="A3:AB3"/>
    <mergeCell ref="A4:B4"/>
    <mergeCell ref="C58:X58"/>
    <mergeCell ref="C59:X59"/>
    <mergeCell ref="C60:X60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33" customWidth="1"/>
    <col min="2" max="2" width="13.28515625" style="33" customWidth="1"/>
    <col min="3" max="3" width="19.7109375" style="33" customWidth="1"/>
    <col min="4" max="4" width="22.140625" style="33" customWidth="1"/>
    <col min="5" max="5" width="18.85546875" style="33" customWidth="1"/>
    <col min="6" max="16384" width="9.140625" style="33"/>
  </cols>
  <sheetData>
    <row r="1" spans="1:4" ht="12" customHeight="1" x14ac:dyDescent="0.2"/>
    <row r="2" spans="1:4" x14ac:dyDescent="0.2">
      <c r="A2" s="34" t="s">
        <v>58</v>
      </c>
      <c r="B2" s="34" t="s">
        <v>59</v>
      </c>
      <c r="C2" s="34" t="s">
        <v>60</v>
      </c>
      <c r="D2" s="34" t="s">
        <v>61</v>
      </c>
    </row>
    <row r="3" spans="1:4" ht="13.5" thickBot="1" x14ac:dyDescent="0.25">
      <c r="A3" s="75" t="s">
        <v>62</v>
      </c>
      <c r="B3" s="35">
        <v>1</v>
      </c>
      <c r="C3" s="35">
        <v>0.7</v>
      </c>
      <c r="D3" s="36">
        <v>0.61</v>
      </c>
    </row>
    <row r="4" spans="1:4" ht="14.25" thickTop="1" thickBot="1" x14ac:dyDescent="0.25">
      <c r="A4" s="75"/>
      <c r="B4" s="35">
        <v>1.43</v>
      </c>
      <c r="C4" s="35">
        <v>1</v>
      </c>
      <c r="D4" s="36">
        <v>0.87</v>
      </c>
    </row>
    <row r="5" spans="1:4" ht="14.25" thickTop="1" thickBot="1" x14ac:dyDescent="0.25">
      <c r="A5" s="75"/>
      <c r="B5" s="37">
        <v>1.65</v>
      </c>
      <c r="C5" s="37">
        <v>1.1499999999999999</v>
      </c>
      <c r="D5" s="38">
        <v>1</v>
      </c>
    </row>
    <row r="6" spans="1:4" ht="14.25" thickTop="1" thickBot="1" x14ac:dyDescent="0.25">
      <c r="A6" s="75" t="s">
        <v>63</v>
      </c>
      <c r="B6" s="35">
        <v>1</v>
      </c>
      <c r="C6" s="35">
        <v>0.61</v>
      </c>
      <c r="D6" s="36">
        <v>0.57999999999999996</v>
      </c>
    </row>
    <row r="7" spans="1:4" ht="14.25" thickTop="1" thickBot="1" x14ac:dyDescent="0.25">
      <c r="A7" s="75"/>
      <c r="B7" s="35">
        <v>1.64</v>
      </c>
      <c r="C7" s="35">
        <v>1</v>
      </c>
      <c r="D7" s="36">
        <v>0.95</v>
      </c>
    </row>
    <row r="8" spans="1:4" ht="14.25" thickTop="1" thickBot="1" x14ac:dyDescent="0.25">
      <c r="A8" s="75"/>
      <c r="B8" s="37">
        <v>1.74</v>
      </c>
      <c r="C8" s="37">
        <v>1.06</v>
      </c>
      <c r="D8" s="38">
        <v>1</v>
      </c>
    </row>
    <row r="9" spans="1:4" ht="14.25" thickTop="1" thickBot="1" x14ac:dyDescent="0.25">
      <c r="A9" s="75" t="s">
        <v>64</v>
      </c>
      <c r="B9" s="35">
        <v>1</v>
      </c>
      <c r="C9" s="35">
        <v>0.5</v>
      </c>
      <c r="D9" s="36">
        <v>0.34</v>
      </c>
    </row>
    <row r="10" spans="1:4" ht="14.25" thickTop="1" thickBot="1" x14ac:dyDescent="0.25">
      <c r="A10" s="75"/>
      <c r="B10" s="35">
        <v>2</v>
      </c>
      <c r="C10" s="35">
        <v>1</v>
      </c>
      <c r="D10" s="36">
        <v>0.68</v>
      </c>
    </row>
    <row r="11" spans="1:4" ht="14.25" thickTop="1" thickBot="1" x14ac:dyDescent="0.25">
      <c r="A11" s="75"/>
      <c r="B11" s="37">
        <v>2.94</v>
      </c>
      <c r="C11" s="37">
        <v>1.47</v>
      </c>
      <c r="D11" s="38">
        <v>1</v>
      </c>
    </row>
    <row r="12" spans="1:4" s="40" customFormat="1" ht="28.5" customHeight="1" thickTop="1" thickBot="1" x14ac:dyDescent="0.25">
      <c r="A12" s="39" t="s">
        <v>65</v>
      </c>
      <c r="B12" s="76" t="s">
        <v>66</v>
      </c>
      <c r="C12" s="76"/>
      <c r="D12" s="76"/>
    </row>
    <row r="13" spans="1:4" ht="13.5" thickTop="1" x14ac:dyDescent="0.2">
      <c r="A13" s="41" t="s">
        <v>67</v>
      </c>
    </row>
    <row r="16" spans="1:4" x14ac:dyDescent="0.2">
      <c r="A16" s="77" t="s">
        <v>96</v>
      </c>
      <c r="B16" s="48" t="s">
        <v>99</v>
      </c>
      <c r="C16" s="48" t="s">
        <v>98</v>
      </c>
      <c r="D16" s="48" t="s">
        <v>97</v>
      </c>
    </row>
    <row r="17" spans="1:4" x14ac:dyDescent="0.2">
      <c r="A17" s="78"/>
      <c r="B17" s="49">
        <v>1.39</v>
      </c>
      <c r="C17" s="50">
        <v>1</v>
      </c>
      <c r="D17" s="50">
        <v>1</v>
      </c>
    </row>
    <row r="19" spans="1:4" x14ac:dyDescent="0.2">
      <c r="A19" s="42" t="s">
        <v>68</v>
      </c>
      <c r="B19" s="43" t="s">
        <v>69</v>
      </c>
      <c r="C19" s="43" t="s">
        <v>70</v>
      </c>
      <c r="D19" s="43" t="s">
        <v>71</v>
      </c>
    </row>
    <row r="20" spans="1:4" x14ac:dyDescent="0.2">
      <c r="A20" s="44" t="s">
        <v>72</v>
      </c>
      <c r="B20" s="45">
        <v>415</v>
      </c>
      <c r="C20" s="45">
        <v>356</v>
      </c>
      <c r="D20" s="45">
        <f>AVERAGE(B20:C20)</f>
        <v>385.5</v>
      </c>
    </row>
    <row r="21" spans="1:4" x14ac:dyDescent="0.2">
      <c r="A21" s="46" t="s">
        <v>73</v>
      </c>
      <c r="B21" s="46"/>
      <c r="C21" s="46"/>
      <c r="D21" s="46"/>
    </row>
    <row r="23" spans="1:4" x14ac:dyDescent="0.2">
      <c r="A23" s="51" t="s">
        <v>101</v>
      </c>
      <c r="B23" s="47"/>
      <c r="C23" s="47"/>
      <c r="D23" s="47"/>
    </row>
    <row r="24" spans="1:4" x14ac:dyDescent="0.2">
      <c r="A24" s="73" t="s">
        <v>100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cp:lastPrinted>2024-09-27T19:22:44Z</cp:lastPrinted>
  <dcterms:created xsi:type="dcterms:W3CDTF">2020-06-24T18:57:09Z</dcterms:created>
  <dcterms:modified xsi:type="dcterms:W3CDTF">2024-09-30T17:53:51Z</dcterms:modified>
</cp:coreProperties>
</file>