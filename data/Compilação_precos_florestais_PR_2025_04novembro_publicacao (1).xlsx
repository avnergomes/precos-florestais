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5_novembro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FORMULÁRIO!$A$1:$AB$72</definedName>
    <definedName name="Excel_BuiltIn__FilterDatabase" localSheetId="0">FORMULÁRIO!#REF!</definedName>
    <definedName name="_xlnm.Print_Titles" localSheetId="0">FORMULÁRIO!$6:$6</definedName>
  </definedNames>
  <calcPr calcId="162913"/>
</workbook>
</file>

<file path=xl/calcChain.xml><?xml version="1.0" encoding="utf-8"?>
<calcChain xmlns="http://schemas.openxmlformats.org/spreadsheetml/2006/main">
  <c r="AA46" i="1" l="1"/>
  <c r="AB46" i="1" s="1"/>
  <c r="AA30" i="1" l="1"/>
  <c r="AB30" i="1" s="1"/>
  <c r="AA31" i="1"/>
  <c r="AB31" i="1" s="1"/>
  <c r="AB61" i="1"/>
  <c r="AA19" i="1"/>
  <c r="AB19" i="1" s="1"/>
  <c r="AA70" i="1"/>
  <c r="AA69" i="1"/>
  <c r="AA66" i="1"/>
  <c r="AA47" i="1"/>
  <c r="AB47" i="1" s="1"/>
  <c r="AA48" i="1"/>
  <c r="AB48" i="1" s="1"/>
  <c r="AA49" i="1"/>
  <c r="AA50" i="1"/>
  <c r="AB50" i="1" s="1"/>
  <c r="AA51" i="1"/>
  <c r="AA52" i="1"/>
  <c r="AB52" i="1" s="1"/>
  <c r="AA53" i="1"/>
  <c r="AA54" i="1"/>
  <c r="AA55" i="1"/>
  <c r="AB55" i="1" s="1"/>
  <c r="AA56" i="1"/>
  <c r="AB56" i="1" s="1"/>
  <c r="AA57" i="1"/>
  <c r="AA58" i="1"/>
  <c r="AA45" i="1"/>
  <c r="AA38" i="1"/>
  <c r="AA39" i="1"/>
  <c r="AA40" i="1"/>
  <c r="AA41" i="1"/>
  <c r="AA42" i="1"/>
  <c r="AA37" i="1"/>
  <c r="AA34" i="1"/>
  <c r="AA27" i="1"/>
  <c r="AA28" i="1"/>
  <c r="AA29" i="1"/>
  <c r="AB29" i="1" s="1"/>
  <c r="AA26" i="1"/>
  <c r="AA9" i="1"/>
  <c r="AB9" i="1" s="1"/>
  <c r="AA10" i="1"/>
  <c r="AB10" i="1" s="1"/>
  <c r="AA11" i="1"/>
  <c r="AB11" i="1" s="1"/>
  <c r="AA12" i="1"/>
  <c r="AB12" i="1" s="1"/>
  <c r="AA13" i="1"/>
  <c r="AA14" i="1"/>
  <c r="AA15" i="1"/>
  <c r="AB15" i="1" s="1"/>
  <c r="AA16" i="1"/>
  <c r="AB16" i="1" s="1"/>
  <c r="AA17" i="1"/>
  <c r="AA18" i="1"/>
  <c r="AA20" i="1"/>
  <c r="AA21" i="1"/>
  <c r="AA22" i="1"/>
  <c r="AA23" i="1"/>
  <c r="AA8" i="1"/>
  <c r="D20" i="3"/>
  <c r="AB26" i="1" l="1"/>
  <c r="AB23" i="1"/>
  <c r="AB41" i="1"/>
  <c r="AB57" i="1"/>
  <c r="AB39" i="1"/>
  <c r="AB18" i="1"/>
  <c r="AB20" i="1"/>
  <c r="AB34" i="1"/>
  <c r="AB45" i="1"/>
  <c r="AB58" i="1"/>
  <c r="AB70" i="1"/>
  <c r="AB54" i="1"/>
  <c r="AA59" i="1"/>
  <c r="AB59" i="1" s="1"/>
  <c r="AB51" i="1"/>
  <c r="AB13" i="1"/>
  <c r="AB69" i="1"/>
  <c r="AB21" i="1"/>
  <c r="AB40" i="1"/>
  <c r="AB14" i="1"/>
  <c r="AB17" i="1"/>
  <c r="AB27" i="1"/>
  <c r="AB28" i="1"/>
  <c r="AB22" i="1"/>
  <c r="AB53" i="1"/>
  <c r="AA60" i="1"/>
  <c r="AB60" i="1" s="1"/>
  <c r="AB38" i="1"/>
  <c r="AB66" i="1"/>
  <c r="AB49" i="1"/>
  <c r="AB8" i="1"/>
  <c r="AB42" i="1"/>
  <c r="AB37" i="1"/>
</calcChain>
</file>

<file path=xl/sharedStrings.xml><?xml version="1.0" encoding="utf-8"?>
<sst xmlns="http://schemas.openxmlformats.org/spreadsheetml/2006/main" count="158" uniqueCount="115">
  <si>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</si>
  <si>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</si>
  <si>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</si>
  <si>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</si>
  <si>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</si>
  <si>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</si>
  <si>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</si>
  <si>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</si>
  <si>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</si>
  <si>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</si>
  <si>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</si>
  <si>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</si>
  <si>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</si>
  <si>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</si>
  <si>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</si>
  <si>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</si>
  <si>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</si>
  <si>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</si>
  <si>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</si>
  <si>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</si>
  <si>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</si>
  <si>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</si>
  <si>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</si>
  <si>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</si>
  <si>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</si>
  <si>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</si>
  <si>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</si>
  <si>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</si>
  <si>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</si>
  <si>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</si>
  <si>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</si>
  <si>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</si>
  <si>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</si>
  <si>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</si>
  <si>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</si>
  <si>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</si>
  <si>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</si>
  <si>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</si>
  <si>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</si>
  <si>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</si>
  <si>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</si>
  <si>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</si>
  <si>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</si>
  <si>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</si>
  <si>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</si>
  <si>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</si>
  <si>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</si>
  <si>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</si>
  <si>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</si>
  <si>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</si>
  <si>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</si>
  <si>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</si>
  <si>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</si>
  <si>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</si>
  <si>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</si>
  <si>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</si>
  <si>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</si>
  <si>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</si>
  <si>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</si>
  <si>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</si>
  <si>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</si>
  <si>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</si>
  <si>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</si>
  <si>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</si>
  <si>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</si>
  <si>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</si>
  <si>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</si>
  <si>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</si>
  <si>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</si>
  <si>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</si>
  <si>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</si>
  <si>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</si>
  <si>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</si>
  <si>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</si>
  <si>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</si>
  <si>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</si>
  <si>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</si>
  <si>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</si>
  <si>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</si>
  <si>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</si>
  <si>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</si>
  <si>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</si>
  <si>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</si>
  <si>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</si>
  <si>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</si>
  <si>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</si>
  <si>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</si>
  <si>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</si>
  <si>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</si>
  <si>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</si>
  <si>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</si>
  <si>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</si>
  <si>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</si>
  <si>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</si>
  <si>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</si>
  <si>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</si>
  <si>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</si>
  <si>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</si>
  <si>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</si>
  <si>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</si>
  <si>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</si>
  <si>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</si>
  <si>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</si>
  <si>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</si>
  <si>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</si>
  <si>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</si>
  <si>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</si>
  <si>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</si>
  <si>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</si>
  <si>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</si>
  <si>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</si>
  <si>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Cianorte</t>
  </si>
  <si>
    <t>Lenha</t>
  </si>
  <si>
    <t>Referência: novembro de 2025</t>
  </si>
  <si>
    <t>Eucalyptus urophylla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</si>
</sst>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4" fillId="3" borderId="3" xfId="0" applyNumberFormat="1" applyFont="1" applyFill="1" applyBorder="1" applyAlignment="1">
      <alignment horizontal="left" vertical="center"/>
    </xf>
    <xf numFmtId="2" fontId="4" fillId="3" borderId="3" xfId="0" applyNumberFormat="1" applyFont="1" applyFill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left" vertical="center" wrapText="1" shrinkToFit="1"/>
    </xf>
    <xf numFmtId="2" fontId="3" fillId="0" borderId="8" xfId="0" applyNumberFormat="1" applyFont="1" applyBorder="1" applyAlignment="1">
      <alignment horizontal="left" vertical="center" wrapText="1" shrinkToFit="1"/>
    </xf>
    <xf numFmtId="2" fontId="4" fillId="3" borderId="0" xfId="0" applyNumberFormat="1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vertical="center" wrapText="1"/>
    </xf>
    <xf numFmtId="2" fontId="3" fillId="0" borderId="7" xfId="0" applyNumberFormat="1" applyFont="1" applyBorder="1" applyAlignment="1">
      <alignment horizontal="left" vertical="center" wrapText="1" shrinkToFit="1"/>
    </xf>
    <xf numFmtId="2" fontId="3" fillId="0" borderId="0" xfId="0" applyNumberFormat="1" applyFont="1" applyBorder="1" applyAlignment="1">
      <alignment horizontal="left" vertical="center" wrapText="1" shrinkToFit="1"/>
    </xf>
    <xf numFmtId="2" fontId="2" fillId="0" borderId="22" xfId="0" applyNumberFormat="1" applyFont="1" applyBorder="1" applyAlignment="1">
      <alignment vertical="center"/>
    </xf>
    <xf numFmtId="2" fontId="2" fillId="0" borderId="6" xfId="0" applyNumberFormat="1" applyFont="1" applyFill="1" applyBorder="1" applyAlignment="1">
      <alignment vertical="center"/>
    </xf>
    <xf numFmtId="2" fontId="2" fillId="0" borderId="23" xfId="0" applyNumberFormat="1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3" fillId="0" borderId="7" xfId="0" applyFont="1" applyFill="1" applyBorder="1" applyAlignment="1">
      <alignment horizontal="left" vertical="center" shrinkToFit="1"/>
    </xf>
    <xf numFmtId="9" fontId="2" fillId="0" borderId="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horizontal="left" vertical="center" shrinkToFit="1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0" fontId="3" fillId="0" borderId="11" xfId="0" applyFont="1" applyFill="1" applyBorder="1" applyAlignment="1">
      <alignment horizontal="left" vertical="center" shrinkToFit="1"/>
    </xf>
    <xf numFmtId="2" fontId="2" fillId="0" borderId="0" xfId="0" applyNumberFormat="1" applyFont="1" applyFill="1" applyAlignment="1">
      <alignment vertical="center"/>
    </xf>
    <xf numFmtId="2" fontId="2" fillId="0" borderId="22" xfId="0" applyNumberFormat="1" applyFont="1" applyFill="1" applyBorder="1" applyAlignment="1">
      <alignment vertical="center"/>
    </xf>
    <xf numFmtId="2" fontId="2" fillId="0" borderId="23" xfId="0" applyNumberFormat="1" applyFont="1" applyFill="1" applyBorder="1" applyAlignment="1">
      <alignment vertical="center"/>
    </xf>
    <xf numFmtId="2" fontId="2" fillId="0" borderId="6" xfId="0" applyNumberFormat="1" applyFont="1" applyFill="1" applyBorder="1" applyAlignment="1">
      <alignment horizontal="center" vertical="center"/>
    </xf>
    <xf numFmtId="2" fontId="2" fillId="0" borderId="15" xfId="0" applyNumberFormat="1" applyFont="1" applyFill="1" applyBorder="1" applyAlignment="1">
      <alignment horizontal="center" vertical="center"/>
    </xf>
    <xf numFmtId="2" fontId="2" fillId="0" borderId="17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2"/>
  <sheetViews>
    <sheetView tabSelected="1" defaultGridColor="0" colorId="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3.42578125" customWidth="1"/>
    <col min="30" max="30" width="11" customWidth="1"/>
  </cols>
  <sheetData>
    <row r="1" spans="1:29" s="11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Z1" s="12"/>
      <c r="AA1" s="12"/>
      <c r="AB1" s="13"/>
    </row>
    <row r="2" spans="1:29" s="11" customFormat="1" x14ac:dyDescent="0.2">
      <c r="A2" s="73" t="s">
        <v>86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</row>
    <row r="3" spans="1:29" s="11" customFormat="1" x14ac:dyDescent="0.2">
      <c r="A3" s="73" t="s">
        <v>85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</row>
    <row r="4" spans="1:29" s="11" customFormat="1" x14ac:dyDescent="0.2">
      <c r="A4" s="74" t="s">
        <v>87</v>
      </c>
      <c r="B4" s="7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Z4" s="12"/>
      <c r="AA4" s="12"/>
      <c r="AB4" s="13"/>
    </row>
    <row r="5" spans="1:29" s="11" customFormat="1" x14ac:dyDescent="0.2">
      <c r="A5" s="14" t="s">
        <v>113</v>
      </c>
      <c r="B5" s="14"/>
      <c r="C5" s="16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16"/>
      <c r="U5" s="39"/>
      <c r="V5" s="39"/>
      <c r="W5" s="39"/>
      <c r="X5" s="39"/>
      <c r="Z5" s="16"/>
      <c r="AA5" s="12"/>
      <c r="AB5" s="13"/>
    </row>
    <row r="6" spans="1:29" ht="91.5" customHeight="1" x14ac:dyDescent="0.2">
      <c r="A6" s="37" t="s">
        <v>0</v>
      </c>
      <c r="B6" s="38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36" t="s">
        <v>23</v>
      </c>
      <c r="AA6" s="4" t="s">
        <v>24</v>
      </c>
      <c r="AB6" s="5" t="s">
        <v>25</v>
      </c>
    </row>
    <row r="7" spans="1:29" ht="13.5" thickBot="1" x14ac:dyDescent="0.25">
      <c r="A7" s="48" t="s">
        <v>95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11"/>
      <c r="Z7" s="49"/>
      <c r="AA7" s="49"/>
      <c r="AB7" s="49"/>
      <c r="AC7" s="11"/>
    </row>
    <row r="8" spans="1:29" ht="12.75" customHeight="1" x14ac:dyDescent="0.2">
      <c r="A8" s="50" t="s">
        <v>88</v>
      </c>
      <c r="B8" s="6" t="s">
        <v>26</v>
      </c>
      <c r="C8" s="42"/>
      <c r="D8" s="42">
        <v>1.56</v>
      </c>
      <c r="E8" s="42"/>
      <c r="F8" s="42">
        <v>1.8</v>
      </c>
      <c r="G8" s="42">
        <v>0.9</v>
      </c>
      <c r="H8" s="42"/>
      <c r="I8" s="42"/>
      <c r="J8" s="42"/>
      <c r="K8" s="42"/>
      <c r="L8" s="42">
        <v>1.6</v>
      </c>
      <c r="M8" s="42"/>
      <c r="N8" s="42"/>
      <c r="O8" s="42"/>
      <c r="P8" s="42">
        <v>1.2</v>
      </c>
      <c r="Q8" s="42"/>
      <c r="R8" s="42">
        <v>1.2</v>
      </c>
      <c r="S8" s="42">
        <v>1</v>
      </c>
      <c r="T8" s="42"/>
      <c r="U8" s="42">
        <v>1.4</v>
      </c>
      <c r="V8" s="42"/>
      <c r="W8" s="42">
        <v>1.5</v>
      </c>
      <c r="X8" s="42"/>
      <c r="Y8" s="11"/>
      <c r="Z8" s="42">
        <v>1.25</v>
      </c>
      <c r="AA8" s="43">
        <f>AVERAGE(C8:X8)</f>
        <v>1.3511111111111114</v>
      </c>
      <c r="AB8" s="44">
        <f t="shared" ref="AB8:AB18" si="0">AA8/Z8-1</f>
        <v>8.088888888888901E-2</v>
      </c>
      <c r="AC8" s="11"/>
    </row>
    <row r="9" spans="1:29" ht="12.75" customHeight="1" x14ac:dyDescent="0.2">
      <c r="A9" s="50" t="s">
        <v>27</v>
      </c>
      <c r="B9" s="6" t="s">
        <v>26</v>
      </c>
      <c r="C9" s="42"/>
      <c r="D9" s="42"/>
      <c r="E9" s="42"/>
      <c r="F9" s="42"/>
      <c r="G9" s="42">
        <v>0.9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>
        <v>1.2</v>
      </c>
      <c r="S9" s="42"/>
      <c r="T9" s="42"/>
      <c r="U9" s="42">
        <v>1.3</v>
      </c>
      <c r="V9" s="42"/>
      <c r="W9" s="42"/>
      <c r="X9" s="42"/>
      <c r="Y9" s="11"/>
      <c r="Z9" s="42">
        <v>1.1166666666666665</v>
      </c>
      <c r="AA9" s="43">
        <f t="shared" ref="AA9:AA23" si="1">AVERAGE(C9:X9)</f>
        <v>1.1333333333333335</v>
      </c>
      <c r="AB9" s="44">
        <f t="shared" si="0"/>
        <v>1.4925373134328623E-2</v>
      </c>
      <c r="AC9" s="11"/>
    </row>
    <row r="10" spans="1:29" ht="12.75" customHeight="1" x14ac:dyDescent="0.2">
      <c r="A10" s="50" t="s">
        <v>28</v>
      </c>
      <c r="B10" s="6" t="s">
        <v>26</v>
      </c>
      <c r="C10" s="42"/>
      <c r="D10" s="42">
        <v>2</v>
      </c>
      <c r="E10" s="42"/>
      <c r="F10" s="42"/>
      <c r="G10" s="42">
        <v>0.9</v>
      </c>
      <c r="H10" s="42">
        <v>1.23</v>
      </c>
      <c r="I10" s="42"/>
      <c r="J10" s="42">
        <v>1.1000000000000001</v>
      </c>
      <c r="K10" s="42">
        <v>1.1000000000000001</v>
      </c>
      <c r="L10" s="42"/>
      <c r="M10" s="42"/>
      <c r="N10" s="42"/>
      <c r="O10" s="42"/>
      <c r="P10" s="42"/>
      <c r="Q10" s="42"/>
      <c r="R10" s="42">
        <v>1.2</v>
      </c>
      <c r="S10" s="42">
        <v>1</v>
      </c>
      <c r="T10" s="42"/>
      <c r="U10" s="42">
        <v>1.3</v>
      </c>
      <c r="V10" s="42">
        <v>0.9</v>
      </c>
      <c r="W10" s="42"/>
      <c r="X10" s="42">
        <v>1.2</v>
      </c>
      <c r="Y10" s="11"/>
      <c r="Z10" s="42">
        <v>1.143</v>
      </c>
      <c r="AA10" s="43">
        <f t="shared" si="1"/>
        <v>1.1930000000000001</v>
      </c>
      <c r="AB10" s="44">
        <f t="shared" si="0"/>
        <v>4.3744531933508357E-2</v>
      </c>
      <c r="AC10" s="11"/>
    </row>
    <row r="11" spans="1:29" ht="12.75" customHeight="1" x14ac:dyDescent="0.2">
      <c r="A11" s="50" t="s">
        <v>29</v>
      </c>
      <c r="B11" s="6" t="s">
        <v>26</v>
      </c>
      <c r="C11" s="42"/>
      <c r="D11" s="42"/>
      <c r="E11" s="42"/>
      <c r="F11" s="42"/>
      <c r="G11" s="42">
        <v>0.9</v>
      </c>
      <c r="H11" s="42">
        <v>1.23</v>
      </c>
      <c r="I11" s="42"/>
      <c r="J11" s="42"/>
      <c r="K11" s="42"/>
      <c r="L11" s="42">
        <v>1.5</v>
      </c>
      <c r="M11" s="42">
        <v>1.2</v>
      </c>
      <c r="N11" s="42">
        <v>1.2</v>
      </c>
      <c r="O11" s="42">
        <v>2</v>
      </c>
      <c r="P11" s="42"/>
      <c r="Q11" s="42"/>
      <c r="R11" s="42">
        <v>1.2</v>
      </c>
      <c r="S11" s="42">
        <v>1</v>
      </c>
      <c r="T11" s="42"/>
      <c r="U11" s="42">
        <v>1.3</v>
      </c>
      <c r="V11" s="42"/>
      <c r="W11" s="42">
        <v>1.5</v>
      </c>
      <c r="X11" s="42">
        <v>1.2</v>
      </c>
      <c r="Y11" s="11"/>
      <c r="Z11" s="42">
        <v>1.2227272727272727</v>
      </c>
      <c r="AA11" s="43">
        <f t="shared" si="1"/>
        <v>1.2936363636363637</v>
      </c>
      <c r="AB11" s="44">
        <f t="shared" si="0"/>
        <v>5.7992565055762224E-2</v>
      </c>
      <c r="AC11" s="11"/>
    </row>
    <row r="12" spans="1:29" ht="12.75" customHeight="1" x14ac:dyDescent="0.2">
      <c r="A12" s="50" t="s">
        <v>30</v>
      </c>
      <c r="B12" s="6" t="s">
        <v>26</v>
      </c>
      <c r="C12" s="42"/>
      <c r="D12" s="42"/>
      <c r="E12" s="42"/>
      <c r="F12" s="42"/>
      <c r="G12" s="42">
        <v>0.8</v>
      </c>
      <c r="H12" s="42">
        <v>1.23</v>
      </c>
      <c r="I12" s="42"/>
      <c r="J12" s="42"/>
      <c r="K12" s="42"/>
      <c r="L12" s="42">
        <v>1.5</v>
      </c>
      <c r="M12" s="42">
        <v>1.2</v>
      </c>
      <c r="N12" s="42"/>
      <c r="O12" s="42"/>
      <c r="P12" s="42"/>
      <c r="Q12" s="42"/>
      <c r="R12" s="42"/>
      <c r="S12" s="42"/>
      <c r="T12" s="42"/>
      <c r="U12" s="42">
        <v>1.3</v>
      </c>
      <c r="V12" s="42"/>
      <c r="W12" s="42"/>
      <c r="X12" s="42">
        <v>1.2</v>
      </c>
      <c r="Y12" s="11"/>
      <c r="Z12" s="42">
        <v>1.156666666666667</v>
      </c>
      <c r="AA12" s="43">
        <f t="shared" si="1"/>
        <v>1.2050000000000001</v>
      </c>
      <c r="AB12" s="44">
        <f t="shared" si="0"/>
        <v>4.1786743515849878E-2</v>
      </c>
      <c r="AC12" s="11"/>
    </row>
    <row r="13" spans="1:29" ht="12.75" customHeight="1" x14ac:dyDescent="0.2">
      <c r="A13" s="50" t="s">
        <v>31</v>
      </c>
      <c r="B13" s="6" t="s">
        <v>26</v>
      </c>
      <c r="C13" s="42"/>
      <c r="D13" s="42"/>
      <c r="E13" s="42"/>
      <c r="F13" s="42"/>
      <c r="G13" s="42"/>
      <c r="H13" s="42"/>
      <c r="I13" s="42"/>
      <c r="J13" s="1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11"/>
      <c r="Z13" s="42"/>
      <c r="AA13" s="43" t="e">
        <f t="shared" si="1"/>
        <v>#DIV/0!</v>
      </c>
      <c r="AB13" s="44" t="e">
        <f t="shared" si="0"/>
        <v>#DIV/0!</v>
      </c>
      <c r="AC13" s="11"/>
    </row>
    <row r="14" spans="1:29" ht="12.75" customHeight="1" x14ac:dyDescent="0.2">
      <c r="A14" s="50" t="s">
        <v>32</v>
      </c>
      <c r="B14" s="6" t="s">
        <v>26</v>
      </c>
      <c r="C14" s="42"/>
      <c r="D14" s="42"/>
      <c r="E14" s="42"/>
      <c r="F14" s="42"/>
      <c r="G14" s="42"/>
      <c r="H14" s="42">
        <v>1.1499999999999999</v>
      </c>
      <c r="I14" s="42"/>
      <c r="J14" s="42">
        <v>1.1499999999999999</v>
      </c>
      <c r="K14" s="42"/>
      <c r="L14" s="42"/>
      <c r="M14" s="42"/>
      <c r="N14" s="42"/>
      <c r="O14" s="42"/>
      <c r="P14" s="42"/>
      <c r="Q14" s="42"/>
      <c r="R14" s="42">
        <v>1.2</v>
      </c>
      <c r="S14" s="42">
        <v>1</v>
      </c>
      <c r="T14" s="42"/>
      <c r="U14" s="42">
        <v>1.4</v>
      </c>
      <c r="V14" s="42"/>
      <c r="W14" s="42"/>
      <c r="X14" s="42">
        <v>1.1000000000000001</v>
      </c>
      <c r="Y14" s="11"/>
      <c r="Z14" s="42">
        <v>1.1333333333333335</v>
      </c>
      <c r="AA14" s="43">
        <f t="shared" si="1"/>
        <v>1.1666666666666667</v>
      </c>
      <c r="AB14" s="44">
        <f t="shared" si="0"/>
        <v>2.9411764705882248E-2</v>
      </c>
      <c r="AC14" s="11"/>
    </row>
    <row r="15" spans="1:29" ht="12.75" customHeight="1" x14ac:dyDescent="0.2">
      <c r="A15" s="50" t="s">
        <v>33</v>
      </c>
      <c r="B15" s="6" t="s">
        <v>26</v>
      </c>
      <c r="C15" s="42"/>
      <c r="D15" s="42">
        <v>2</v>
      </c>
      <c r="E15" s="42"/>
      <c r="F15" s="42">
        <v>1</v>
      </c>
      <c r="G15" s="42"/>
      <c r="H15" s="42"/>
      <c r="I15" s="42"/>
      <c r="J15" s="12"/>
      <c r="K15" s="42"/>
      <c r="L15" s="42">
        <v>1.2</v>
      </c>
      <c r="M15" s="42">
        <v>1.2</v>
      </c>
      <c r="N15" s="42"/>
      <c r="O15" s="42"/>
      <c r="P15" s="42"/>
      <c r="Q15" s="42"/>
      <c r="R15" s="42">
        <v>1.2</v>
      </c>
      <c r="S15" s="42"/>
      <c r="T15" s="42"/>
      <c r="U15" s="42">
        <v>1.4</v>
      </c>
      <c r="V15" s="42"/>
      <c r="W15" s="42">
        <v>1.6</v>
      </c>
      <c r="X15" s="42"/>
      <c r="Y15" s="11"/>
      <c r="Z15" s="41">
        <v>1.4000000000000001</v>
      </c>
      <c r="AA15" s="43">
        <f t="shared" si="1"/>
        <v>1.3714285714285714</v>
      </c>
      <c r="AB15" s="44">
        <f t="shared" si="0"/>
        <v>-2.0408163265306256E-2</v>
      </c>
      <c r="AC15" s="11"/>
    </row>
    <row r="16" spans="1:29" ht="12.75" customHeight="1" x14ac:dyDescent="0.2">
      <c r="A16" s="50" t="s">
        <v>34</v>
      </c>
      <c r="B16" s="6" t="s">
        <v>26</v>
      </c>
      <c r="C16" s="42"/>
      <c r="D16" s="42"/>
      <c r="E16" s="42"/>
      <c r="F16" s="42"/>
      <c r="G16" s="42">
        <v>0.98</v>
      </c>
      <c r="H16" s="42">
        <v>1.25</v>
      </c>
      <c r="I16" s="42"/>
      <c r="J16" s="42">
        <v>1.1599999999999999</v>
      </c>
      <c r="K16" s="42">
        <v>1.1000000000000001</v>
      </c>
      <c r="L16" s="42">
        <v>1.2</v>
      </c>
      <c r="M16" s="42"/>
      <c r="N16" s="42"/>
      <c r="O16" s="42"/>
      <c r="P16" s="42"/>
      <c r="Q16" s="42"/>
      <c r="R16" s="42"/>
      <c r="S16" s="42">
        <v>1.1499999999999999</v>
      </c>
      <c r="T16" s="42"/>
      <c r="U16" s="42">
        <v>1.3</v>
      </c>
      <c r="V16" s="42"/>
      <c r="W16" s="42"/>
      <c r="X16" s="41">
        <v>1.1000000000000001</v>
      </c>
      <c r="Y16" s="11"/>
      <c r="Z16" s="42">
        <v>1.11375</v>
      </c>
      <c r="AA16" s="43">
        <f t="shared" si="1"/>
        <v>1.155</v>
      </c>
      <c r="AB16" s="44">
        <f t="shared" si="0"/>
        <v>3.7037037037036979E-2</v>
      </c>
      <c r="AC16" s="11"/>
    </row>
    <row r="17" spans="1:29" ht="12.75" customHeight="1" x14ac:dyDescent="0.2">
      <c r="A17" s="50" t="s">
        <v>35</v>
      </c>
      <c r="B17" s="6" t="s">
        <v>26</v>
      </c>
      <c r="C17" s="42"/>
      <c r="D17" s="42"/>
      <c r="E17" s="42"/>
      <c r="F17" s="42"/>
      <c r="G17" s="42"/>
      <c r="H17" s="42">
        <v>1.4</v>
      </c>
      <c r="I17" s="41"/>
      <c r="J17" s="42">
        <v>1.19</v>
      </c>
      <c r="K17" s="42">
        <v>1.1000000000000001</v>
      </c>
      <c r="L17" s="42">
        <v>1.2</v>
      </c>
      <c r="M17" s="42">
        <v>1.3</v>
      </c>
      <c r="N17" s="42"/>
      <c r="O17" s="42"/>
      <c r="P17" s="42"/>
      <c r="Q17" s="42"/>
      <c r="R17" s="42"/>
      <c r="S17" s="42">
        <v>1.3</v>
      </c>
      <c r="T17" s="42"/>
      <c r="U17" s="42">
        <v>1.3</v>
      </c>
      <c r="V17" s="42"/>
      <c r="W17" s="42"/>
      <c r="X17" s="42">
        <v>1.25</v>
      </c>
      <c r="Y17" s="11"/>
      <c r="Z17" s="42">
        <v>1.2137499999999999</v>
      </c>
      <c r="AA17" s="43">
        <f t="shared" si="1"/>
        <v>1.2549999999999999</v>
      </c>
      <c r="AB17" s="44">
        <f t="shared" si="0"/>
        <v>3.3985581874356408E-2</v>
      </c>
      <c r="AC17" s="11"/>
    </row>
    <row r="18" spans="1:29" ht="12.75" customHeight="1" x14ac:dyDescent="0.2">
      <c r="A18" s="50" t="s">
        <v>36</v>
      </c>
      <c r="B18" s="6" t="s">
        <v>26</v>
      </c>
      <c r="C18" s="42"/>
      <c r="D18" s="42"/>
      <c r="E18" s="42"/>
      <c r="F18" s="42"/>
      <c r="G18" s="42">
        <v>0.98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11"/>
      <c r="Z18" s="42">
        <v>0.95</v>
      </c>
      <c r="AA18" s="43">
        <f t="shared" si="1"/>
        <v>0.98</v>
      </c>
      <c r="AB18" s="44">
        <f t="shared" si="0"/>
        <v>3.1578947368421151E-2</v>
      </c>
      <c r="AC18" s="11"/>
    </row>
    <row r="19" spans="1:29" ht="12.75" customHeight="1" x14ac:dyDescent="0.2">
      <c r="A19" s="50" t="s">
        <v>38</v>
      </c>
      <c r="B19" s="6" t="s">
        <v>26</v>
      </c>
      <c r="C19" s="42"/>
      <c r="D19" s="42"/>
      <c r="E19" s="42"/>
      <c r="F19" s="41"/>
      <c r="G19" s="42">
        <v>2.35</v>
      </c>
      <c r="H19" s="42"/>
      <c r="I19" s="42"/>
      <c r="J19" s="42">
        <v>3.15</v>
      </c>
      <c r="K19" s="42"/>
      <c r="L19" s="42">
        <v>5</v>
      </c>
      <c r="M19" s="42"/>
      <c r="N19" s="42"/>
      <c r="O19" s="42"/>
      <c r="P19" s="42"/>
      <c r="Q19" s="42"/>
      <c r="R19" s="42"/>
      <c r="S19" s="42">
        <v>5</v>
      </c>
      <c r="T19" s="42"/>
      <c r="U19" s="42">
        <v>2.5</v>
      </c>
      <c r="V19" s="42"/>
      <c r="W19" s="42"/>
      <c r="X19" s="42">
        <v>4</v>
      </c>
      <c r="Y19" s="11"/>
      <c r="Z19" s="42">
        <v>3.625</v>
      </c>
      <c r="AA19" s="43">
        <f t="shared" si="1"/>
        <v>3.6666666666666665</v>
      </c>
      <c r="AB19" s="44">
        <f>AA19/Z19-1</f>
        <v>1.1494252873563093E-2</v>
      </c>
      <c r="AC19" s="11"/>
    </row>
    <row r="20" spans="1:29" ht="12.75" customHeight="1" x14ac:dyDescent="0.2">
      <c r="A20" s="50" t="s">
        <v>106</v>
      </c>
      <c r="B20" s="6" t="s">
        <v>26</v>
      </c>
      <c r="C20" s="42"/>
      <c r="D20" s="42"/>
      <c r="E20" s="42"/>
      <c r="F20" s="41"/>
      <c r="G20" s="42"/>
      <c r="H20" s="42"/>
      <c r="I20" s="42"/>
      <c r="J20" s="42">
        <v>1.6</v>
      </c>
      <c r="K20" s="42">
        <v>1.5</v>
      </c>
      <c r="L20" s="42"/>
      <c r="M20" s="42"/>
      <c r="N20" s="42"/>
      <c r="O20" s="42"/>
      <c r="P20" s="42"/>
      <c r="Q20" s="42"/>
      <c r="R20" s="42"/>
      <c r="S20" s="42">
        <v>1.25</v>
      </c>
      <c r="T20" s="42">
        <v>1.8</v>
      </c>
      <c r="U20" s="42">
        <v>1.45</v>
      </c>
      <c r="V20" s="42"/>
      <c r="W20" s="42"/>
      <c r="X20" s="42">
        <v>1.1000000000000001</v>
      </c>
      <c r="Y20" s="11"/>
      <c r="Z20" s="42">
        <v>1.4416666666666667</v>
      </c>
      <c r="AA20" s="43">
        <f t="shared" si="1"/>
        <v>1.45</v>
      </c>
      <c r="AB20" s="44">
        <f>AA20/Z20-1</f>
        <v>5.7803468208093012E-3</v>
      </c>
      <c r="AC20" s="11"/>
    </row>
    <row r="21" spans="1:29" ht="12.75" customHeight="1" x14ac:dyDescent="0.2">
      <c r="A21" s="50" t="s">
        <v>39</v>
      </c>
      <c r="B21" s="6" t="s">
        <v>26</v>
      </c>
      <c r="C21" s="42"/>
      <c r="D21" s="42"/>
      <c r="E21" s="42"/>
      <c r="F21" s="41"/>
      <c r="G21" s="42">
        <v>2.87</v>
      </c>
      <c r="H21" s="42"/>
      <c r="I21" s="42"/>
      <c r="J21" s="42"/>
      <c r="K21" s="42"/>
      <c r="L21" s="42">
        <v>10</v>
      </c>
      <c r="M21" s="42"/>
      <c r="N21" s="42"/>
      <c r="O21" s="42">
        <v>5</v>
      </c>
      <c r="P21" s="42">
        <v>6</v>
      </c>
      <c r="Q21" s="42"/>
      <c r="R21" s="42"/>
      <c r="S21" s="42"/>
      <c r="T21" s="42"/>
      <c r="U21" s="42"/>
      <c r="V21" s="42"/>
      <c r="W21" s="42">
        <v>3</v>
      </c>
      <c r="X21" s="42"/>
      <c r="Y21" s="11"/>
      <c r="Z21" s="42">
        <v>5.37</v>
      </c>
      <c r="AA21" s="43">
        <f t="shared" si="1"/>
        <v>5.3740000000000006</v>
      </c>
      <c r="AB21" s="44">
        <f>AA21/Z21-1</f>
        <v>7.448789571695702E-4</v>
      </c>
      <c r="AC21" s="11"/>
    </row>
    <row r="22" spans="1:29" ht="12.75" customHeight="1" x14ac:dyDescent="0.2">
      <c r="A22" s="50" t="s">
        <v>40</v>
      </c>
      <c r="B22" s="6" t="s">
        <v>26</v>
      </c>
      <c r="C22" s="42"/>
      <c r="D22" s="42"/>
      <c r="E22" s="42"/>
      <c r="F22" s="42">
        <v>3</v>
      </c>
      <c r="G22" s="42">
        <v>2.76</v>
      </c>
      <c r="H22" s="42"/>
      <c r="I22" s="42"/>
      <c r="J22" s="42"/>
      <c r="K22" s="42"/>
      <c r="L22" s="42"/>
      <c r="M22" s="42"/>
      <c r="N22" s="42"/>
      <c r="O22" s="42">
        <v>5</v>
      </c>
      <c r="P22" s="42">
        <v>7</v>
      </c>
      <c r="Q22" s="42">
        <v>1.75</v>
      </c>
      <c r="R22" s="42"/>
      <c r="S22" s="42"/>
      <c r="T22" s="42"/>
      <c r="U22" s="42"/>
      <c r="V22" s="42"/>
      <c r="W22" s="42">
        <v>4</v>
      </c>
      <c r="X22" s="42"/>
      <c r="Y22" s="11"/>
      <c r="Z22" s="42">
        <v>3.9066666666666667</v>
      </c>
      <c r="AA22" s="43">
        <f t="shared" si="1"/>
        <v>3.918333333333333</v>
      </c>
      <c r="AB22" s="44">
        <f>AA22/Z22-1</f>
        <v>2.9863481228666888E-3</v>
      </c>
      <c r="AC22" s="11"/>
    </row>
    <row r="23" spans="1:29" ht="12.75" customHeight="1" x14ac:dyDescent="0.2">
      <c r="A23" s="50" t="s">
        <v>41</v>
      </c>
      <c r="B23" s="6" t="s">
        <v>26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>
        <v>3.8</v>
      </c>
      <c r="Y23" s="11"/>
      <c r="Z23" s="42">
        <v>3.6</v>
      </c>
      <c r="AA23" s="43">
        <f t="shared" si="1"/>
        <v>3.8</v>
      </c>
      <c r="AB23" s="44">
        <f>AA23/Z23-1</f>
        <v>5.555555555555558E-2</v>
      </c>
      <c r="AC23" s="11"/>
    </row>
    <row r="24" spans="1:29" ht="12.75" customHeight="1" x14ac:dyDescent="0.2">
      <c r="A24" s="51"/>
      <c r="B24" s="8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11"/>
      <c r="Z24" s="42"/>
      <c r="AA24" s="43"/>
      <c r="AB24" s="44"/>
      <c r="AC24" s="11"/>
    </row>
    <row r="25" spans="1:29" ht="12.75" customHeight="1" thickBot="1" x14ac:dyDescent="0.25">
      <c r="A25" s="49" t="s">
        <v>94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1"/>
      <c r="Z25" s="49"/>
      <c r="AA25" s="49"/>
      <c r="AB25" s="49"/>
      <c r="AC25" s="11"/>
    </row>
    <row r="26" spans="1:29" ht="12.75" customHeight="1" x14ac:dyDescent="0.2">
      <c r="A26" s="50" t="s">
        <v>83</v>
      </c>
      <c r="B26" s="6" t="s">
        <v>26</v>
      </c>
      <c r="C26" s="42"/>
      <c r="D26" s="42"/>
      <c r="E26" s="42">
        <v>1.3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>
        <v>1.38</v>
      </c>
      <c r="Q26" s="42"/>
      <c r="R26" s="42"/>
      <c r="S26" s="42"/>
      <c r="T26" s="42"/>
      <c r="U26" s="42"/>
      <c r="V26" s="42"/>
      <c r="W26" s="42"/>
      <c r="X26" s="42"/>
      <c r="Y26" s="11"/>
      <c r="Z26" s="42">
        <v>1.3399999999999999</v>
      </c>
      <c r="AA26" s="43">
        <f>AVERAGE(C26:X26)</f>
        <v>1.3399999999999999</v>
      </c>
      <c r="AB26" s="44">
        <f>AA26/Z26-1</f>
        <v>0</v>
      </c>
      <c r="AC26" s="11"/>
    </row>
    <row r="27" spans="1:29" ht="12.75" customHeight="1" x14ac:dyDescent="0.2">
      <c r="A27" s="50" t="s">
        <v>105</v>
      </c>
      <c r="B27" s="6" t="s">
        <v>26</v>
      </c>
      <c r="C27" s="42"/>
      <c r="D27" s="42"/>
      <c r="E27" s="42">
        <v>1.28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>
        <v>1.38</v>
      </c>
      <c r="Q27" s="42"/>
      <c r="R27" s="42"/>
      <c r="S27" s="42"/>
      <c r="T27" s="42"/>
      <c r="U27" s="42"/>
      <c r="V27" s="42"/>
      <c r="W27" s="42"/>
      <c r="X27" s="42"/>
      <c r="Y27" s="11"/>
      <c r="Z27" s="42">
        <v>1.26</v>
      </c>
      <c r="AA27" s="43">
        <f t="shared" ref="AA27:AA31" si="2">AVERAGE(C27:X27)</f>
        <v>1.33</v>
      </c>
      <c r="AB27" s="44">
        <f t="shared" ref="AB27:AB31" si="3">AA27/Z27-1</f>
        <v>5.555555555555558E-2</v>
      </c>
      <c r="AC27" s="11"/>
    </row>
    <row r="28" spans="1:29" ht="12.75" customHeight="1" x14ac:dyDescent="0.2">
      <c r="A28" s="50" t="s">
        <v>114</v>
      </c>
      <c r="B28" s="6" t="s">
        <v>26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>
        <v>1.4</v>
      </c>
      <c r="V28" s="42"/>
      <c r="W28" s="42"/>
      <c r="X28" s="42"/>
      <c r="Y28" s="11"/>
      <c r="Z28" s="42"/>
      <c r="AA28" s="43">
        <f t="shared" si="2"/>
        <v>1.4</v>
      </c>
      <c r="AB28" s="44" t="e">
        <f t="shared" si="3"/>
        <v>#DIV/0!</v>
      </c>
      <c r="AC28" s="11"/>
    </row>
    <row r="29" spans="1:29" ht="12.75" customHeight="1" x14ac:dyDescent="0.2">
      <c r="A29" s="50" t="s">
        <v>89</v>
      </c>
      <c r="B29" s="6" t="s">
        <v>26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>
        <v>1.2</v>
      </c>
      <c r="V29" s="42"/>
      <c r="W29" s="42"/>
      <c r="X29" s="42"/>
      <c r="Y29" s="11"/>
      <c r="Z29" s="42">
        <v>1.3</v>
      </c>
      <c r="AA29" s="43">
        <f t="shared" si="2"/>
        <v>1.2</v>
      </c>
      <c r="AB29" s="44">
        <f t="shared" si="3"/>
        <v>-7.6923076923076983E-2</v>
      </c>
      <c r="AC29" s="11"/>
    </row>
    <row r="30" spans="1:29" ht="12.75" customHeight="1" x14ac:dyDescent="0.2">
      <c r="A30" s="50" t="s">
        <v>107</v>
      </c>
      <c r="B30" s="6" t="s">
        <v>26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>
        <v>1.2</v>
      </c>
      <c r="V30" s="42"/>
      <c r="W30" s="42"/>
      <c r="X30" s="42"/>
      <c r="Y30" s="11"/>
      <c r="Z30" s="42">
        <v>1.2</v>
      </c>
      <c r="AA30" s="43">
        <f t="shared" si="2"/>
        <v>1.2</v>
      </c>
      <c r="AB30" s="44">
        <f t="shared" si="3"/>
        <v>0</v>
      </c>
      <c r="AC30" s="11"/>
    </row>
    <row r="31" spans="1:29" ht="12.75" customHeight="1" x14ac:dyDescent="0.2">
      <c r="A31" s="50" t="s">
        <v>90</v>
      </c>
      <c r="B31" s="6" t="s">
        <v>26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>
        <v>1.2</v>
      </c>
      <c r="V31" s="42"/>
      <c r="W31" s="42"/>
      <c r="X31" s="42"/>
      <c r="Y31" s="11"/>
      <c r="Z31" s="42">
        <v>1.2</v>
      </c>
      <c r="AA31" s="43">
        <f t="shared" si="2"/>
        <v>1.2</v>
      </c>
      <c r="AB31" s="44">
        <f t="shared" si="3"/>
        <v>0</v>
      </c>
      <c r="AC31" s="11"/>
    </row>
    <row r="32" spans="1:29" ht="12.75" customHeight="1" x14ac:dyDescent="0.2">
      <c r="A32" s="53"/>
      <c r="B32" s="53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11"/>
      <c r="Z32" s="42"/>
      <c r="AA32" s="43"/>
      <c r="AB32" s="44"/>
      <c r="AC32" s="11"/>
    </row>
    <row r="33" spans="1:29" ht="14.65" customHeight="1" thickBot="1" x14ac:dyDescent="0.25">
      <c r="A33" s="49" t="s">
        <v>37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11"/>
      <c r="Z33" s="49"/>
      <c r="AA33" s="49"/>
      <c r="AB33" s="49"/>
      <c r="AC33" s="11"/>
    </row>
    <row r="34" spans="1:29" ht="12.75" customHeight="1" x14ac:dyDescent="0.2">
      <c r="A34" s="50" t="s">
        <v>74</v>
      </c>
      <c r="B34" s="6" t="s">
        <v>26</v>
      </c>
      <c r="C34" s="42">
        <v>5</v>
      </c>
      <c r="D34" s="42"/>
      <c r="E34" s="42"/>
      <c r="F34" s="41">
        <v>10</v>
      </c>
      <c r="G34" s="42">
        <v>6.32</v>
      </c>
      <c r="H34" s="42"/>
      <c r="I34" s="42"/>
      <c r="J34" s="42">
        <v>4.2</v>
      </c>
      <c r="K34" s="42"/>
      <c r="L34" s="42">
        <v>5</v>
      </c>
      <c r="M34" s="42"/>
      <c r="N34" s="42"/>
      <c r="O34" s="42">
        <v>5</v>
      </c>
      <c r="P34" s="42">
        <v>7</v>
      </c>
      <c r="Q34" s="42"/>
      <c r="R34" s="42"/>
      <c r="S34" s="42"/>
      <c r="T34" s="42"/>
      <c r="U34" s="42"/>
      <c r="V34" s="42"/>
      <c r="W34" s="42"/>
      <c r="X34" s="42">
        <v>5</v>
      </c>
      <c r="Y34" s="11"/>
      <c r="Z34" s="42">
        <v>5.9375</v>
      </c>
      <c r="AA34" s="43">
        <f>AVERAGE(C34:X34)</f>
        <v>5.9399999999999995</v>
      </c>
      <c r="AB34" s="44">
        <f>AA34/Z34-1</f>
        <v>4.2105263157887762E-4</v>
      </c>
      <c r="AC34" s="11"/>
    </row>
    <row r="35" spans="1:29" ht="12.75" customHeight="1" x14ac:dyDescent="0.2">
      <c r="A35" s="54"/>
      <c r="B35" s="55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11"/>
      <c r="Z35" s="42"/>
      <c r="AA35" s="43"/>
      <c r="AB35" s="44"/>
      <c r="AC35" s="11"/>
    </row>
    <row r="36" spans="1:29" ht="14.65" customHeight="1" thickBot="1" x14ac:dyDescent="0.25">
      <c r="A36" s="49" t="s">
        <v>91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11"/>
      <c r="Z36" s="49"/>
      <c r="AA36" s="49"/>
      <c r="AB36" s="49"/>
      <c r="AC36" s="11"/>
    </row>
    <row r="37" spans="1:29" ht="12.75" customHeight="1" x14ac:dyDescent="0.2">
      <c r="A37" s="50" t="s">
        <v>42</v>
      </c>
      <c r="B37" s="6" t="s">
        <v>43</v>
      </c>
      <c r="C37" s="42"/>
      <c r="D37" s="42"/>
      <c r="E37" s="42">
        <v>15</v>
      </c>
      <c r="F37" s="42"/>
      <c r="G37" s="42"/>
      <c r="H37" s="42">
        <v>15</v>
      </c>
      <c r="I37" s="42"/>
      <c r="J37" s="42">
        <v>12</v>
      </c>
      <c r="K37" s="42">
        <v>12</v>
      </c>
      <c r="L37" s="42"/>
      <c r="M37" s="42"/>
      <c r="N37" s="42">
        <v>10</v>
      </c>
      <c r="O37" s="42"/>
      <c r="P37" s="42"/>
      <c r="Q37" s="42"/>
      <c r="R37" s="42"/>
      <c r="S37" s="42"/>
      <c r="T37" s="42">
        <v>15</v>
      </c>
      <c r="U37" s="42"/>
      <c r="V37" s="42"/>
      <c r="W37" s="42"/>
      <c r="X37" s="41">
        <v>12</v>
      </c>
      <c r="Y37" s="11"/>
      <c r="Z37" s="42">
        <v>12.833333333333334</v>
      </c>
      <c r="AA37" s="43">
        <f>AVERAGE(C37:X37)</f>
        <v>13</v>
      </c>
      <c r="AB37" s="44">
        <f t="shared" ref="AB37:AB42" si="4">AA37/Z37-1</f>
        <v>1.298701298701288E-2</v>
      </c>
      <c r="AC37" s="11"/>
    </row>
    <row r="38" spans="1:29" ht="12.75" customHeight="1" x14ac:dyDescent="0.2">
      <c r="A38" s="50" t="s">
        <v>44</v>
      </c>
      <c r="B38" s="6" t="s">
        <v>43</v>
      </c>
      <c r="C38" s="42"/>
      <c r="D38" s="42"/>
      <c r="E38" s="42"/>
      <c r="F38" s="41"/>
      <c r="G38" s="42"/>
      <c r="H38" s="42"/>
      <c r="I38" s="42">
        <v>19.3</v>
      </c>
      <c r="J38" s="42">
        <v>18</v>
      </c>
      <c r="K38" s="42">
        <v>18.5</v>
      </c>
      <c r="L38" s="42"/>
      <c r="M38" s="42"/>
      <c r="N38" s="42">
        <v>18</v>
      </c>
      <c r="O38" s="42"/>
      <c r="P38" s="42"/>
      <c r="Q38" s="42"/>
      <c r="R38" s="42"/>
      <c r="S38" s="42"/>
      <c r="T38" s="42">
        <v>20</v>
      </c>
      <c r="U38" s="42">
        <v>16</v>
      </c>
      <c r="V38" s="42"/>
      <c r="W38" s="42"/>
      <c r="X38" s="42">
        <v>17.399999999999999</v>
      </c>
      <c r="Y38" s="11"/>
      <c r="Z38" s="42">
        <v>18.571428571428573</v>
      </c>
      <c r="AA38" s="43">
        <f t="shared" ref="AA38:AA42" si="5">AVERAGE(C38:X38)</f>
        <v>18.171428571428571</v>
      </c>
      <c r="AB38" s="44">
        <f t="shared" si="4"/>
        <v>-2.1538461538461617E-2</v>
      </c>
      <c r="AC38" s="11"/>
    </row>
    <row r="39" spans="1:29" ht="12.75" customHeight="1" x14ac:dyDescent="0.2">
      <c r="A39" s="50" t="s">
        <v>46</v>
      </c>
      <c r="B39" s="6" t="s">
        <v>104</v>
      </c>
      <c r="C39" s="42"/>
      <c r="D39" s="42"/>
      <c r="E39" s="42"/>
      <c r="F39" s="41"/>
      <c r="G39" s="42">
        <v>4.3499999999999996</v>
      </c>
      <c r="H39" s="42"/>
      <c r="I39" s="42"/>
      <c r="J39" s="42"/>
      <c r="K39" s="42"/>
      <c r="L39" s="42"/>
      <c r="M39" s="42"/>
      <c r="N39" s="42"/>
      <c r="O39" s="42"/>
      <c r="P39" s="42"/>
      <c r="Q39" s="42">
        <v>3.8</v>
      </c>
      <c r="R39" s="42"/>
      <c r="S39" s="42"/>
      <c r="T39" s="42"/>
      <c r="U39" s="42"/>
      <c r="V39" s="42"/>
      <c r="W39" s="41">
        <v>7</v>
      </c>
      <c r="X39" s="42"/>
      <c r="Y39" s="11"/>
      <c r="Z39" s="41">
        <v>4.9125000000000005</v>
      </c>
      <c r="AA39" s="43">
        <f t="shared" si="5"/>
        <v>5.05</v>
      </c>
      <c r="AB39" s="44">
        <f t="shared" si="4"/>
        <v>2.7989821882951516E-2</v>
      </c>
      <c r="AC39" s="11"/>
    </row>
    <row r="40" spans="1:29" ht="12.75" customHeight="1" x14ac:dyDescent="0.2">
      <c r="A40" s="50" t="s">
        <v>47</v>
      </c>
      <c r="B40" s="6" t="s">
        <v>45</v>
      </c>
      <c r="C40" s="42"/>
      <c r="D40" s="42"/>
      <c r="E40" s="42"/>
      <c r="F40" s="41"/>
      <c r="G40" s="42"/>
      <c r="H40" s="42"/>
      <c r="I40" s="42"/>
      <c r="J40" s="42"/>
      <c r="K40" s="42"/>
      <c r="L40" s="42"/>
      <c r="M40" s="42"/>
      <c r="N40" s="42"/>
      <c r="O40" s="42"/>
      <c r="P40" s="42">
        <v>4.7</v>
      </c>
      <c r="Q40" s="42"/>
      <c r="R40" s="41">
        <v>6</v>
      </c>
      <c r="S40" s="42"/>
      <c r="T40" s="42"/>
      <c r="U40" s="42"/>
      <c r="V40" s="42"/>
      <c r="W40" s="42"/>
      <c r="X40" s="42"/>
      <c r="Y40" s="11"/>
      <c r="Z40" s="41">
        <v>5.25</v>
      </c>
      <c r="AA40" s="43">
        <f t="shared" si="5"/>
        <v>5.35</v>
      </c>
      <c r="AB40" s="44">
        <f t="shared" si="4"/>
        <v>1.904761904761898E-2</v>
      </c>
      <c r="AC40" s="11"/>
    </row>
    <row r="41" spans="1:29" ht="12.75" customHeight="1" x14ac:dyDescent="0.2">
      <c r="A41" s="50" t="s">
        <v>48</v>
      </c>
      <c r="B41" s="6" t="s">
        <v>45</v>
      </c>
      <c r="C41" s="42"/>
      <c r="D41" s="42"/>
      <c r="E41" s="56"/>
      <c r="F41" s="68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11"/>
      <c r="Z41" s="41"/>
      <c r="AA41" s="43" t="e">
        <f t="shared" si="5"/>
        <v>#DIV/0!</v>
      </c>
      <c r="AB41" s="44" t="e">
        <f t="shared" si="4"/>
        <v>#DIV/0!</v>
      </c>
      <c r="AC41" s="11"/>
    </row>
    <row r="42" spans="1:29" ht="12.75" customHeight="1" x14ac:dyDescent="0.2">
      <c r="A42" s="50" t="s">
        <v>49</v>
      </c>
      <c r="B42" s="6" t="s">
        <v>45</v>
      </c>
      <c r="C42" s="41"/>
      <c r="D42" s="57"/>
      <c r="E42" s="58"/>
      <c r="F42" s="69"/>
      <c r="G42" s="41"/>
      <c r="H42" s="42">
        <v>5.13</v>
      </c>
      <c r="I42" s="42"/>
      <c r="J42" s="41"/>
      <c r="K42" s="41">
        <v>4.5999999999999996</v>
      </c>
      <c r="L42" s="41"/>
      <c r="M42" s="41"/>
      <c r="N42" s="41">
        <v>5.0999999999999996</v>
      </c>
      <c r="O42" s="42"/>
      <c r="P42" s="42"/>
      <c r="Q42" s="42"/>
      <c r="R42" s="42"/>
      <c r="S42" s="42"/>
      <c r="T42" s="42"/>
      <c r="U42" s="42">
        <v>5.17</v>
      </c>
      <c r="V42" s="42"/>
      <c r="W42" s="42"/>
      <c r="X42" s="42"/>
      <c r="Y42" s="11"/>
      <c r="Z42" s="41">
        <v>4.4775</v>
      </c>
      <c r="AA42" s="43">
        <f t="shared" si="5"/>
        <v>5</v>
      </c>
      <c r="AB42" s="44">
        <f t="shared" si="4"/>
        <v>0.11669458403126742</v>
      </c>
      <c r="AC42" s="11"/>
    </row>
    <row r="43" spans="1:29" ht="12.75" customHeight="1" x14ac:dyDescent="0.2">
      <c r="A43" s="50"/>
      <c r="B43" s="55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11"/>
      <c r="Z43" s="42"/>
      <c r="AA43" s="43"/>
      <c r="AB43" s="44"/>
      <c r="AC43" s="11"/>
    </row>
    <row r="44" spans="1:29" ht="14.65" customHeight="1" thickBot="1" x14ac:dyDescent="0.25">
      <c r="A44" s="59" t="s">
        <v>75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11"/>
      <c r="Z44" s="49"/>
      <c r="AA44" s="49"/>
      <c r="AB44" s="49"/>
      <c r="AC44" s="11"/>
    </row>
    <row r="45" spans="1:29" ht="12.75" customHeight="1" x14ac:dyDescent="0.2">
      <c r="A45" s="50" t="s">
        <v>76</v>
      </c>
      <c r="B45" s="6" t="s">
        <v>50</v>
      </c>
      <c r="C45" s="42"/>
      <c r="D45" s="41"/>
      <c r="E45" s="42"/>
      <c r="F45" s="42"/>
      <c r="G45" s="42"/>
      <c r="H45" s="42"/>
      <c r="I45" s="42"/>
      <c r="J45" s="42">
        <v>485</v>
      </c>
      <c r="K45" s="42">
        <v>415</v>
      </c>
      <c r="L45" s="41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>
        <v>395</v>
      </c>
      <c r="Y45" s="11"/>
      <c r="Z45" s="42">
        <v>418.33333333333331</v>
      </c>
      <c r="AA45" s="43">
        <f>AVERAGE(C45:X45)</f>
        <v>431.66666666666669</v>
      </c>
      <c r="AB45" s="44">
        <f t="shared" ref="AB45:AB61" si="6">AA45/Z45-1</f>
        <v>3.1872509960159556E-2</v>
      </c>
      <c r="AC45" s="11"/>
    </row>
    <row r="46" spans="1:29" ht="12.75" customHeight="1" x14ac:dyDescent="0.2">
      <c r="A46" s="60" t="s">
        <v>77</v>
      </c>
      <c r="B46" s="6" t="s">
        <v>50</v>
      </c>
      <c r="C46" s="41">
        <v>73.666666666666671</v>
      </c>
      <c r="D46" s="41">
        <v>55.5</v>
      </c>
      <c r="E46" s="41"/>
      <c r="F46" s="41"/>
      <c r="G46" s="41">
        <v>44</v>
      </c>
      <c r="H46" s="41">
        <v>47.85</v>
      </c>
      <c r="I46" s="41"/>
      <c r="J46" s="41">
        <v>54.9</v>
      </c>
      <c r="K46" s="41">
        <v>55</v>
      </c>
      <c r="L46" s="41">
        <v>55</v>
      </c>
      <c r="M46" s="41"/>
      <c r="N46" s="41"/>
      <c r="O46" s="42"/>
      <c r="P46" s="42"/>
      <c r="Q46" s="42"/>
      <c r="R46" s="42"/>
      <c r="S46" s="41">
        <v>40</v>
      </c>
      <c r="T46" s="42"/>
      <c r="U46" s="41">
        <v>105.21739130434783</v>
      </c>
      <c r="V46" s="42"/>
      <c r="W46" s="42"/>
      <c r="X46" s="41">
        <v>45.5</v>
      </c>
      <c r="Y46" s="11"/>
      <c r="Z46" s="42">
        <v>59.39549114331723</v>
      </c>
      <c r="AA46" s="43">
        <f t="shared" ref="AA46:AA58" si="7">AVERAGE(C46:X46)</f>
        <v>57.663405797101447</v>
      </c>
      <c r="AB46" s="44">
        <f t="shared" si="6"/>
        <v>-2.9161899546152115E-2</v>
      </c>
      <c r="AC46" s="11"/>
    </row>
    <row r="47" spans="1:29" ht="12.75" customHeight="1" x14ac:dyDescent="0.2">
      <c r="A47" s="60" t="s">
        <v>78</v>
      </c>
      <c r="B47" s="6" t="s">
        <v>50</v>
      </c>
      <c r="C47" s="41">
        <v>81.666666666666671</v>
      </c>
      <c r="D47" s="41">
        <v>62</v>
      </c>
      <c r="E47" s="41"/>
      <c r="F47" s="41"/>
      <c r="G47" s="41">
        <v>56</v>
      </c>
      <c r="H47" s="41">
        <v>54.33</v>
      </c>
      <c r="I47" s="41">
        <v>58.6</v>
      </c>
      <c r="J47" s="41">
        <v>69.099999999999994</v>
      </c>
      <c r="K47" s="41">
        <v>85</v>
      </c>
      <c r="L47" s="41">
        <v>75</v>
      </c>
      <c r="M47" s="41"/>
      <c r="N47" s="41"/>
      <c r="O47" s="42"/>
      <c r="P47" s="42"/>
      <c r="Q47" s="42"/>
      <c r="R47" s="42"/>
      <c r="S47" s="41">
        <v>50</v>
      </c>
      <c r="T47" s="42"/>
      <c r="U47" s="41">
        <v>108.69565217391305</v>
      </c>
      <c r="V47" s="42"/>
      <c r="W47" s="42"/>
      <c r="X47" s="42">
        <v>55.3</v>
      </c>
      <c r="Y47" s="11"/>
      <c r="Z47" s="42">
        <v>67.820105401844543</v>
      </c>
      <c r="AA47" s="43">
        <f t="shared" si="7"/>
        <v>68.69930171277997</v>
      </c>
      <c r="AB47" s="44">
        <f t="shared" si="6"/>
        <v>1.2963652971726525E-2</v>
      </c>
      <c r="AC47" s="11"/>
    </row>
    <row r="48" spans="1:29" ht="12.75" customHeight="1" x14ac:dyDescent="0.2">
      <c r="A48" s="50" t="s">
        <v>51</v>
      </c>
      <c r="B48" s="6" t="s">
        <v>50</v>
      </c>
      <c r="C48" s="41">
        <v>93.666666666666671</v>
      </c>
      <c r="D48" s="41"/>
      <c r="E48" s="41">
        <v>260.86956521739131</v>
      </c>
      <c r="F48" s="41"/>
      <c r="G48" s="41">
        <v>118</v>
      </c>
      <c r="H48" s="41">
        <v>90.61</v>
      </c>
      <c r="I48" s="41"/>
      <c r="J48" s="41">
        <v>113</v>
      </c>
      <c r="K48" s="41">
        <v>110</v>
      </c>
      <c r="L48" s="41">
        <v>155</v>
      </c>
      <c r="M48" s="41">
        <v>220</v>
      </c>
      <c r="N48" s="41">
        <v>85</v>
      </c>
      <c r="O48" s="41"/>
      <c r="P48" s="41"/>
      <c r="Q48" s="41"/>
      <c r="R48" s="41">
        <v>155</v>
      </c>
      <c r="S48" s="41">
        <v>60</v>
      </c>
      <c r="T48" s="41">
        <v>120</v>
      </c>
      <c r="U48" s="41">
        <v>118.84347826086956</v>
      </c>
      <c r="V48" s="42"/>
      <c r="W48" s="42">
        <v>150</v>
      </c>
      <c r="X48" s="42">
        <v>58.5</v>
      </c>
      <c r="Y48" s="11"/>
      <c r="Z48" s="42">
        <v>116.68344481605352</v>
      </c>
      <c r="AA48" s="43">
        <f t="shared" si="7"/>
        <v>127.23264734299518</v>
      </c>
      <c r="AB48" s="44">
        <f t="shared" si="6"/>
        <v>9.0408734020254844E-2</v>
      </c>
      <c r="AC48" s="11"/>
    </row>
    <row r="49" spans="1:29" ht="12.75" customHeight="1" x14ac:dyDescent="0.2">
      <c r="A49" s="50" t="s">
        <v>52</v>
      </c>
      <c r="B49" s="6" t="s">
        <v>50</v>
      </c>
      <c r="C49" s="41">
        <v>128.66666666666666</v>
      </c>
      <c r="D49" s="41"/>
      <c r="E49" s="41">
        <v>347.82608695652175</v>
      </c>
      <c r="F49" s="41"/>
      <c r="G49" s="41">
        <v>143</v>
      </c>
      <c r="H49" s="41">
        <v>113.63</v>
      </c>
      <c r="I49" s="41">
        <v>142.30000000000001</v>
      </c>
      <c r="J49" s="41">
        <v>146.80000000000001</v>
      </c>
      <c r="K49" s="41">
        <v>120</v>
      </c>
      <c r="L49" s="41">
        <v>180</v>
      </c>
      <c r="M49" s="41">
        <v>240</v>
      </c>
      <c r="N49" s="41">
        <v>100</v>
      </c>
      <c r="O49" s="41">
        <v>240</v>
      </c>
      <c r="P49" s="41">
        <v>165</v>
      </c>
      <c r="Q49" s="41"/>
      <c r="R49" s="41">
        <v>185</v>
      </c>
      <c r="S49" s="41">
        <v>80</v>
      </c>
      <c r="T49" s="41">
        <v>160</v>
      </c>
      <c r="U49" s="41">
        <v>154.34782608695653</v>
      </c>
      <c r="V49" s="42"/>
      <c r="W49" s="42">
        <v>185</v>
      </c>
      <c r="X49" s="42">
        <v>82</v>
      </c>
      <c r="Y49" s="11"/>
      <c r="Z49" s="42">
        <v>152.9440350877193</v>
      </c>
      <c r="AA49" s="43">
        <f t="shared" si="7"/>
        <v>161.86503220611917</v>
      </c>
      <c r="AB49" s="44">
        <f t="shared" si="6"/>
        <v>5.8328506327712137E-2</v>
      </c>
      <c r="AC49" s="11"/>
    </row>
    <row r="50" spans="1:29" ht="12.75" customHeight="1" x14ac:dyDescent="0.2">
      <c r="A50" s="50" t="s">
        <v>53</v>
      </c>
      <c r="B50" s="6" t="s">
        <v>50</v>
      </c>
      <c r="C50" s="41">
        <v>157</v>
      </c>
      <c r="D50" s="41"/>
      <c r="E50" s="41"/>
      <c r="F50" s="41"/>
      <c r="G50" s="41">
        <v>184</v>
      </c>
      <c r="H50" s="41">
        <v>143.46</v>
      </c>
      <c r="I50" s="41">
        <v>156.19999999999999</v>
      </c>
      <c r="J50" s="41">
        <v>176.6</v>
      </c>
      <c r="K50" s="41"/>
      <c r="L50" s="41">
        <v>200</v>
      </c>
      <c r="M50" s="41">
        <v>250</v>
      </c>
      <c r="N50" s="41"/>
      <c r="O50" s="41"/>
      <c r="P50" s="41">
        <v>188</v>
      </c>
      <c r="Q50" s="41"/>
      <c r="R50" s="41">
        <v>215</v>
      </c>
      <c r="S50" s="41"/>
      <c r="T50" s="41">
        <v>200</v>
      </c>
      <c r="U50" s="41">
        <v>197.17391304347828</v>
      </c>
      <c r="V50" s="41"/>
      <c r="W50" s="42">
        <v>210</v>
      </c>
      <c r="X50" s="41">
        <v>120</v>
      </c>
      <c r="Y50" s="11"/>
      <c r="Z50" s="42">
        <v>175.86652173913043</v>
      </c>
      <c r="AA50" s="43">
        <f t="shared" si="7"/>
        <v>184.41799331103681</v>
      </c>
      <c r="AB50" s="44">
        <f t="shared" si="6"/>
        <v>4.8624783656045167E-2</v>
      </c>
      <c r="AC50" s="11"/>
    </row>
    <row r="51" spans="1:29" ht="12.75" customHeight="1" x14ac:dyDescent="0.2">
      <c r="A51" s="50" t="s">
        <v>79</v>
      </c>
      <c r="B51" s="6" t="s">
        <v>50</v>
      </c>
      <c r="C51" s="41">
        <v>83.333333333333329</v>
      </c>
      <c r="D51" s="41">
        <v>61</v>
      </c>
      <c r="E51" s="41"/>
      <c r="F51" s="41"/>
      <c r="G51" s="41"/>
      <c r="H51" s="41">
        <v>54.33</v>
      </c>
      <c r="I51" s="41"/>
      <c r="J51" s="41">
        <v>69.8</v>
      </c>
      <c r="K51" s="41">
        <v>65</v>
      </c>
      <c r="L51" s="41">
        <v>65</v>
      </c>
      <c r="M51" s="41"/>
      <c r="N51" s="41"/>
      <c r="O51" s="41"/>
      <c r="P51" s="41"/>
      <c r="Q51" s="41"/>
      <c r="R51" s="41"/>
      <c r="S51" s="41">
        <v>40.799999999999997</v>
      </c>
      <c r="T51" s="41"/>
      <c r="U51" s="41">
        <v>115.9</v>
      </c>
      <c r="V51" s="41"/>
      <c r="W51" s="42"/>
      <c r="X51" s="41">
        <v>54</v>
      </c>
      <c r="Y51" s="11"/>
      <c r="Z51" s="42">
        <v>66.039333333333332</v>
      </c>
      <c r="AA51" s="43">
        <f t="shared" si="7"/>
        <v>67.684814814814814</v>
      </c>
      <c r="AB51" s="44">
        <f t="shared" si="6"/>
        <v>2.4916688258737052E-2</v>
      </c>
      <c r="AC51" s="11"/>
    </row>
    <row r="52" spans="1:29" ht="12.75" customHeight="1" x14ac:dyDescent="0.2">
      <c r="A52" s="50" t="s">
        <v>84</v>
      </c>
      <c r="B52" s="6" t="s">
        <v>50</v>
      </c>
      <c r="C52" s="41">
        <v>100.66666666666667</v>
      </c>
      <c r="D52" s="41"/>
      <c r="E52" s="41"/>
      <c r="F52" s="41"/>
      <c r="G52" s="41"/>
      <c r="H52" s="41">
        <v>102.63</v>
      </c>
      <c r="I52" s="41">
        <v>92</v>
      </c>
      <c r="J52" s="41">
        <v>128.19999999999999</v>
      </c>
      <c r="K52" s="41">
        <v>145</v>
      </c>
      <c r="L52" s="41">
        <v>120</v>
      </c>
      <c r="M52" s="41"/>
      <c r="N52" s="41">
        <v>150</v>
      </c>
      <c r="O52" s="41"/>
      <c r="P52" s="41"/>
      <c r="Q52" s="41"/>
      <c r="R52" s="41"/>
      <c r="S52" s="41">
        <v>85</v>
      </c>
      <c r="T52" s="41">
        <v>120</v>
      </c>
      <c r="U52" s="41">
        <v>133.76</v>
      </c>
      <c r="V52" s="41"/>
      <c r="W52" s="41"/>
      <c r="X52" s="41">
        <v>108</v>
      </c>
      <c r="Y52" s="11"/>
      <c r="Z52" s="42">
        <v>114.71060606060605</v>
      </c>
      <c r="AA52" s="43">
        <f t="shared" si="7"/>
        <v>116.84151515151515</v>
      </c>
      <c r="AB52" s="44">
        <f t="shared" si="6"/>
        <v>1.8576391182026031E-2</v>
      </c>
      <c r="AC52" s="11"/>
    </row>
    <row r="53" spans="1:29" ht="12.75" customHeight="1" x14ac:dyDescent="0.2">
      <c r="A53" s="50" t="s">
        <v>54</v>
      </c>
      <c r="B53" s="6" t="s">
        <v>50</v>
      </c>
      <c r="C53" s="41"/>
      <c r="D53" s="41"/>
      <c r="E53" s="41"/>
      <c r="F53" s="41"/>
      <c r="G53" s="41"/>
      <c r="H53" s="41">
        <v>171.07</v>
      </c>
      <c r="I53" s="41">
        <v>180</v>
      </c>
      <c r="J53" s="41">
        <v>205.1</v>
      </c>
      <c r="K53" s="41">
        <v>220</v>
      </c>
      <c r="L53" s="41">
        <v>200</v>
      </c>
      <c r="M53" s="41"/>
      <c r="N53" s="41">
        <v>200</v>
      </c>
      <c r="O53" s="41"/>
      <c r="P53" s="41"/>
      <c r="Q53" s="41"/>
      <c r="R53" s="41"/>
      <c r="S53" s="41">
        <v>190</v>
      </c>
      <c r="T53" s="41">
        <v>200</v>
      </c>
      <c r="U53" s="41">
        <v>184.29</v>
      </c>
      <c r="V53" s="41"/>
      <c r="W53" s="41"/>
      <c r="X53" s="41">
        <v>135</v>
      </c>
      <c r="Y53" s="11"/>
      <c r="Z53" s="42">
        <v>193.30699999999996</v>
      </c>
      <c r="AA53" s="43">
        <f t="shared" si="7"/>
        <v>188.54599999999999</v>
      </c>
      <c r="AB53" s="44">
        <f t="shared" si="6"/>
        <v>-2.4629216738141779E-2</v>
      </c>
      <c r="AC53" s="11"/>
    </row>
    <row r="54" spans="1:29" ht="12.75" customHeight="1" x14ac:dyDescent="0.2">
      <c r="A54" s="50" t="s">
        <v>55</v>
      </c>
      <c r="B54" s="6" t="s">
        <v>50</v>
      </c>
      <c r="C54" s="41"/>
      <c r="D54" s="41"/>
      <c r="E54" s="41">
        <v>270</v>
      </c>
      <c r="F54" s="41"/>
      <c r="G54" s="41"/>
      <c r="H54" s="41">
        <v>242.85</v>
      </c>
      <c r="I54" s="41">
        <v>266</v>
      </c>
      <c r="J54" s="41">
        <v>300</v>
      </c>
      <c r="K54" s="41">
        <v>315</v>
      </c>
      <c r="L54" s="41">
        <v>290</v>
      </c>
      <c r="M54" s="41">
        <v>370</v>
      </c>
      <c r="N54" s="41">
        <v>240</v>
      </c>
      <c r="O54" s="41"/>
      <c r="P54" s="41"/>
      <c r="Q54" s="41"/>
      <c r="R54" s="41"/>
      <c r="S54" s="41">
        <v>290</v>
      </c>
      <c r="T54" s="41">
        <v>300</v>
      </c>
      <c r="U54" s="41">
        <v>261.13</v>
      </c>
      <c r="V54" s="41"/>
      <c r="W54" s="42"/>
      <c r="X54" s="41">
        <v>174</v>
      </c>
      <c r="Y54" s="11"/>
      <c r="Z54" s="42">
        <v>283.87454545454545</v>
      </c>
      <c r="AA54" s="43">
        <f t="shared" si="7"/>
        <v>276.58166666666665</v>
      </c>
      <c r="AB54" s="44">
        <f t="shared" si="6"/>
        <v>-2.5690499217537521E-2</v>
      </c>
      <c r="AC54" s="11"/>
    </row>
    <row r="55" spans="1:29" ht="12.75" customHeight="1" x14ac:dyDescent="0.2">
      <c r="A55" s="50" t="s">
        <v>56</v>
      </c>
      <c r="B55" s="6" t="s">
        <v>50</v>
      </c>
      <c r="C55" s="41"/>
      <c r="D55" s="41"/>
      <c r="E55" s="41">
        <v>450</v>
      </c>
      <c r="F55" s="41"/>
      <c r="G55" s="41"/>
      <c r="H55" s="41">
        <v>375.43</v>
      </c>
      <c r="I55" s="41"/>
      <c r="J55" s="41">
        <v>385.2</v>
      </c>
      <c r="K55" s="41">
        <v>395</v>
      </c>
      <c r="L55" s="41">
        <v>360</v>
      </c>
      <c r="M55" s="41">
        <v>430</v>
      </c>
      <c r="N55" s="41">
        <v>290</v>
      </c>
      <c r="O55" s="41"/>
      <c r="P55" s="41"/>
      <c r="Q55" s="41"/>
      <c r="R55" s="41"/>
      <c r="S55" s="41">
        <v>355</v>
      </c>
      <c r="T55" s="41">
        <v>360</v>
      </c>
      <c r="U55" s="41">
        <v>368.75</v>
      </c>
      <c r="V55" s="41"/>
      <c r="W55" s="42"/>
      <c r="X55" s="41">
        <v>249</v>
      </c>
      <c r="Y55" s="11"/>
      <c r="Z55" s="42">
        <v>367.89300000000003</v>
      </c>
      <c r="AA55" s="43">
        <f t="shared" si="7"/>
        <v>365.30727272727273</v>
      </c>
      <c r="AB55" s="44">
        <f t="shared" si="6"/>
        <v>-7.0284764122374721E-3</v>
      </c>
      <c r="AC55" s="11"/>
    </row>
    <row r="56" spans="1:29" s="11" customFormat="1" ht="22.5" x14ac:dyDescent="0.2">
      <c r="A56" s="45" t="s">
        <v>103</v>
      </c>
      <c r="B56" s="6" t="s">
        <v>50</v>
      </c>
      <c r="C56" s="41">
        <v>95</v>
      </c>
      <c r="D56" s="41"/>
      <c r="E56" s="41"/>
      <c r="F56" s="41"/>
      <c r="G56" s="41">
        <v>87</v>
      </c>
      <c r="H56" s="41">
        <v>95</v>
      </c>
      <c r="I56" s="41"/>
      <c r="J56" s="41">
        <v>121.8</v>
      </c>
      <c r="K56" s="41">
        <v>91</v>
      </c>
      <c r="L56" s="41">
        <v>90</v>
      </c>
      <c r="M56" s="41"/>
      <c r="N56" s="41"/>
      <c r="O56" s="41"/>
      <c r="P56" s="41"/>
      <c r="Q56" s="41"/>
      <c r="R56" s="41"/>
      <c r="S56" s="41">
        <v>30</v>
      </c>
      <c r="T56" s="41"/>
      <c r="U56" s="41">
        <v>131.69999999999999</v>
      </c>
      <c r="V56" s="41"/>
      <c r="W56" s="42"/>
      <c r="X56" s="41">
        <v>90</v>
      </c>
      <c r="Z56" s="41">
        <v>93.6</v>
      </c>
      <c r="AA56" s="43">
        <f t="shared" si="7"/>
        <v>92.388888888888886</v>
      </c>
      <c r="AB56" s="44">
        <f t="shared" si="6"/>
        <v>-1.2939221272554535E-2</v>
      </c>
    </row>
    <row r="57" spans="1:29" s="11" customFormat="1" ht="22.5" x14ac:dyDescent="0.2">
      <c r="A57" s="46" t="s">
        <v>81</v>
      </c>
      <c r="B57" s="7" t="s">
        <v>50</v>
      </c>
      <c r="C57" s="41">
        <v>120</v>
      </c>
      <c r="D57" s="41"/>
      <c r="E57" s="41"/>
      <c r="F57" s="41"/>
      <c r="G57" s="41">
        <v>75</v>
      </c>
      <c r="H57" s="41">
        <v>92</v>
      </c>
      <c r="I57" s="41"/>
      <c r="J57" s="41"/>
      <c r="K57" s="41"/>
      <c r="L57" s="41">
        <v>100</v>
      </c>
      <c r="M57" s="41"/>
      <c r="N57" s="41"/>
      <c r="O57" s="41">
        <v>226.35</v>
      </c>
      <c r="P57" s="41"/>
      <c r="Q57" s="41"/>
      <c r="R57" s="41"/>
      <c r="S57" s="41"/>
      <c r="T57" s="41"/>
      <c r="U57" s="41"/>
      <c r="V57" s="41"/>
      <c r="W57" s="42"/>
      <c r="X57" s="41">
        <v>100</v>
      </c>
      <c r="Z57" s="47">
        <v>117.22500000000001</v>
      </c>
      <c r="AA57" s="43">
        <f t="shared" si="7"/>
        <v>118.89166666666667</v>
      </c>
      <c r="AB57" s="44">
        <f>AA57/Z57-1</f>
        <v>1.4217672567000683E-2</v>
      </c>
    </row>
    <row r="58" spans="1:29" ht="12.75" customHeight="1" x14ac:dyDescent="0.2">
      <c r="A58" s="61" t="s">
        <v>80</v>
      </c>
      <c r="B58" s="7" t="s">
        <v>50</v>
      </c>
      <c r="C58" s="41"/>
      <c r="D58" s="41"/>
      <c r="E58" s="42"/>
      <c r="F58" s="42"/>
      <c r="G58" s="42">
        <v>93</v>
      </c>
      <c r="H58" s="42"/>
      <c r="I58" s="42"/>
      <c r="J58" s="42"/>
      <c r="K58" s="41">
        <v>120</v>
      </c>
      <c r="L58" s="42"/>
      <c r="M58" s="42"/>
      <c r="N58" s="42"/>
      <c r="O58" s="41"/>
      <c r="P58" s="41"/>
      <c r="Q58" s="41"/>
      <c r="R58" s="41"/>
      <c r="S58" s="41"/>
      <c r="T58" s="41"/>
      <c r="U58" s="41"/>
      <c r="V58" s="41"/>
      <c r="W58" s="42"/>
      <c r="X58" s="41"/>
      <c r="Y58" s="11"/>
      <c r="Z58" s="41">
        <v>106</v>
      </c>
      <c r="AA58" s="43">
        <f t="shared" si="7"/>
        <v>106.5</v>
      </c>
      <c r="AB58" s="44">
        <f t="shared" si="6"/>
        <v>4.7169811320755262E-3</v>
      </c>
      <c r="AC58" s="11"/>
    </row>
    <row r="59" spans="1:29" ht="12.75" customHeight="1" x14ac:dyDescent="0.2">
      <c r="A59" s="50" t="s">
        <v>92</v>
      </c>
      <c r="B59" s="7" t="s">
        <v>50</v>
      </c>
      <c r="C59" s="70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2"/>
      <c r="Y59" s="11"/>
      <c r="Z59" s="41">
        <v>205.16489696969697</v>
      </c>
      <c r="AA59" s="42">
        <f>AVERAGE(AA51:AA55)</f>
        <v>202.99225387205388</v>
      </c>
      <c r="AB59" s="44">
        <f t="shared" si="6"/>
        <v>-1.0589740885176835E-2</v>
      </c>
      <c r="AC59" s="11"/>
    </row>
    <row r="60" spans="1:29" ht="12.75" customHeight="1" x14ac:dyDescent="0.2">
      <c r="A60" s="50" t="s">
        <v>93</v>
      </c>
      <c r="B60" s="7" t="s">
        <v>50</v>
      </c>
      <c r="C60" s="70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2"/>
      <c r="Y60" s="11"/>
      <c r="Z60" s="41">
        <v>114.54191963761301</v>
      </c>
      <c r="AA60" s="42">
        <f>AVERAGE(AA46:AA50)</f>
        <v>119.97567607400651</v>
      </c>
      <c r="AB60" s="44">
        <f t="shared" si="6"/>
        <v>4.7439020173442037E-2</v>
      </c>
      <c r="AC60" s="11"/>
    </row>
    <row r="61" spans="1:29" ht="12.75" customHeight="1" x14ac:dyDescent="0.2">
      <c r="A61" s="63" t="s">
        <v>102</v>
      </c>
      <c r="B61" s="7" t="s">
        <v>50</v>
      </c>
      <c r="C61" s="70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2"/>
      <c r="Y61" s="11"/>
      <c r="Z61" s="41">
        <v>73.48</v>
      </c>
      <c r="AA61" s="41">
        <v>71.72</v>
      </c>
      <c r="AB61" s="44">
        <f t="shared" si="6"/>
        <v>-2.3952095808383311E-2</v>
      </c>
      <c r="AC61" s="11"/>
    </row>
    <row r="62" spans="1:29" ht="12.75" customHeight="1" x14ac:dyDescent="0.2">
      <c r="A62" s="54"/>
      <c r="B62" s="7"/>
      <c r="C62" s="7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2"/>
      <c r="Y62" s="11"/>
      <c r="Z62" s="41"/>
      <c r="AA62" s="42"/>
      <c r="AB62" s="44"/>
      <c r="AC62" s="11"/>
    </row>
    <row r="63" spans="1:29" ht="12.75" customHeight="1" x14ac:dyDescent="0.2">
      <c r="A63" s="61"/>
      <c r="B63" s="7"/>
      <c r="C63" s="64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4"/>
      <c r="P63" s="64"/>
      <c r="Q63" s="64"/>
      <c r="R63" s="64"/>
      <c r="S63" s="64"/>
      <c r="T63" s="64"/>
      <c r="U63" s="64"/>
      <c r="V63" s="64"/>
      <c r="W63" s="65"/>
      <c r="X63" s="64"/>
      <c r="Y63" s="11"/>
      <c r="Z63" s="64"/>
      <c r="AA63" s="65"/>
      <c r="AB63" s="62"/>
      <c r="AC63" s="11"/>
    </row>
    <row r="64" spans="1:29" ht="12.75" customHeight="1" x14ac:dyDescent="0.2">
      <c r="A64" s="61"/>
      <c r="B64" s="10"/>
      <c r="C64" s="64"/>
      <c r="D64" s="65"/>
      <c r="E64" s="65"/>
      <c r="F64" s="65"/>
      <c r="G64" s="65"/>
      <c r="H64" s="65"/>
      <c r="I64" s="65"/>
      <c r="J64" s="12"/>
      <c r="K64" s="65"/>
      <c r="L64" s="65"/>
      <c r="M64" s="65"/>
      <c r="N64" s="65"/>
      <c r="O64" s="64"/>
      <c r="P64" s="64"/>
      <c r="Q64" s="64"/>
      <c r="R64" s="64"/>
      <c r="S64" s="64"/>
      <c r="T64" s="64"/>
      <c r="U64" s="64"/>
      <c r="V64" s="64"/>
      <c r="W64" s="65"/>
      <c r="X64" s="64"/>
      <c r="Y64" s="11"/>
      <c r="Z64" s="64"/>
      <c r="AA64" s="65"/>
      <c r="AB64" s="62"/>
      <c r="AC64" s="11"/>
    </row>
    <row r="65" spans="1:29" ht="14.65" customHeight="1" thickBot="1" x14ac:dyDescent="0.25">
      <c r="A65" s="59" t="s">
        <v>112</v>
      </c>
      <c r="B65" s="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11"/>
      <c r="Z65" s="49"/>
      <c r="AA65" s="49"/>
      <c r="AB65" s="49"/>
      <c r="AC65" s="11"/>
    </row>
    <row r="66" spans="1:29" ht="12.75" customHeight="1" x14ac:dyDescent="0.2">
      <c r="A66" s="66" t="s">
        <v>82</v>
      </c>
      <c r="B66" s="15" t="s">
        <v>50</v>
      </c>
      <c r="C66" s="41">
        <v>173.3</v>
      </c>
      <c r="D66" s="41">
        <v>148.5</v>
      </c>
      <c r="E66" s="41">
        <v>213.04347826086959</v>
      </c>
      <c r="F66" s="41"/>
      <c r="G66" s="41">
        <v>115</v>
      </c>
      <c r="H66" s="41">
        <v>171.97</v>
      </c>
      <c r="I66" s="41"/>
      <c r="J66" s="42">
        <v>162</v>
      </c>
      <c r="K66" s="42">
        <v>175</v>
      </c>
      <c r="L66" s="42">
        <v>150</v>
      </c>
      <c r="M66" s="42">
        <v>130</v>
      </c>
      <c r="N66" s="42">
        <v>160</v>
      </c>
      <c r="O66" s="42">
        <v>170</v>
      </c>
      <c r="P66" s="67">
        <v>250</v>
      </c>
      <c r="Q66" s="42"/>
      <c r="R66" s="42">
        <v>140</v>
      </c>
      <c r="S66" s="41">
        <v>162</v>
      </c>
      <c r="T66" s="42"/>
      <c r="U66" s="41">
        <v>168.80869565217392</v>
      </c>
      <c r="V66" s="42">
        <v>170</v>
      </c>
      <c r="W66" s="41">
        <v>280</v>
      </c>
      <c r="X66" s="42">
        <v>130</v>
      </c>
      <c r="Y66" s="11"/>
      <c r="Z66" s="42">
        <v>164.01947368421054</v>
      </c>
      <c r="AA66" s="43">
        <f>AVERAGE(C66:X66)</f>
        <v>170.5345652173913</v>
      </c>
      <c r="AB66" s="44">
        <f>AA66/Z66-1</f>
        <v>3.9721451281598208E-2</v>
      </c>
      <c r="AC66" s="11"/>
    </row>
    <row r="67" spans="1:29" ht="12.75" customHeight="1" x14ac:dyDescent="0.2">
      <c r="A67" s="54"/>
      <c r="B67" s="55"/>
      <c r="C67" s="42"/>
      <c r="D67" s="42"/>
      <c r="E67" s="41"/>
      <c r="F67" s="41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11"/>
      <c r="Z67" s="42"/>
      <c r="AA67" s="43"/>
      <c r="AB67" s="44"/>
      <c r="AC67" s="11"/>
    </row>
    <row r="68" spans="1:29" ht="14.65" customHeight="1" thickBot="1" x14ac:dyDescent="0.25">
      <c r="A68" s="49" t="s">
        <v>109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11"/>
      <c r="Z68" s="49"/>
      <c r="AA68" s="49"/>
      <c r="AB68" s="49"/>
      <c r="AC68" s="11"/>
    </row>
    <row r="69" spans="1:29" s="11" customFormat="1" ht="28.5" customHeight="1" x14ac:dyDescent="0.2">
      <c r="A69" s="40" t="s">
        <v>108</v>
      </c>
      <c r="B69" s="6" t="s">
        <v>57</v>
      </c>
      <c r="C69" s="41">
        <v>230</v>
      </c>
      <c r="D69" s="41"/>
      <c r="E69" s="41"/>
      <c r="F69" s="41"/>
      <c r="G69" s="41"/>
      <c r="H69" s="41">
        <v>220</v>
      </c>
      <c r="I69" s="41"/>
      <c r="J69" s="41">
        <v>229.7</v>
      </c>
      <c r="K69" s="41"/>
      <c r="L69" s="41">
        <v>200</v>
      </c>
      <c r="M69" s="41"/>
      <c r="N69" s="41"/>
      <c r="O69" s="41">
        <v>220</v>
      </c>
      <c r="P69" s="41"/>
      <c r="Q69" s="41"/>
      <c r="R69" s="41"/>
      <c r="S69" s="41"/>
      <c r="T69" s="41"/>
      <c r="U69" s="41">
        <v>252.63</v>
      </c>
      <c r="V69" s="41"/>
      <c r="W69" s="41"/>
      <c r="X69" s="42"/>
      <c r="Z69" s="42">
        <v>216.35500000000002</v>
      </c>
      <c r="AA69" s="43">
        <f>AVERAGE(C69:X69)</f>
        <v>225.38833333333332</v>
      </c>
      <c r="AB69" s="44">
        <f>AA69/Z69-1</f>
        <v>4.1752366866184332E-2</v>
      </c>
    </row>
    <row r="70" spans="1:29" ht="15" customHeight="1" x14ac:dyDescent="0.2">
      <c r="A70" s="40" t="s">
        <v>110</v>
      </c>
      <c r="B70" s="6" t="s">
        <v>57</v>
      </c>
      <c r="C70" s="41">
        <v>160</v>
      </c>
      <c r="D70" s="41">
        <v>250</v>
      </c>
      <c r="E70" s="41">
        <v>300</v>
      </c>
      <c r="F70" s="41"/>
      <c r="G70" s="41"/>
      <c r="H70" s="41">
        <v>186.85</v>
      </c>
      <c r="I70" s="41">
        <v>201.5</v>
      </c>
      <c r="J70" s="41">
        <v>177.6</v>
      </c>
      <c r="K70" s="41">
        <v>160</v>
      </c>
      <c r="L70" s="41">
        <v>180</v>
      </c>
      <c r="M70" s="41"/>
      <c r="N70" s="41">
        <v>210</v>
      </c>
      <c r="O70" s="41"/>
      <c r="P70" s="41"/>
      <c r="Q70" s="41"/>
      <c r="R70" s="41"/>
      <c r="S70" s="41">
        <v>145</v>
      </c>
      <c r="T70" s="41">
        <v>160</v>
      </c>
      <c r="U70" s="41">
        <v>186.55</v>
      </c>
      <c r="V70" s="41">
        <v>280</v>
      </c>
      <c r="W70" s="41">
        <v>240</v>
      </c>
      <c r="X70" s="42">
        <v>128</v>
      </c>
      <c r="Y70" s="11"/>
      <c r="Z70" s="42">
        <v>195.28687500000001</v>
      </c>
      <c r="AA70" s="43">
        <f>AVERAGE(C70:X70)</f>
        <v>197.7</v>
      </c>
      <c r="AB70" s="44">
        <f>AA70/Z70-1</f>
        <v>1.2356821214943192E-2</v>
      </c>
      <c r="AC70" s="11"/>
    </row>
    <row r="71" spans="1:29" ht="12.75" customHeight="1" x14ac:dyDescent="0.2">
      <c r="A71" s="50"/>
      <c r="B71" s="6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2"/>
      <c r="P71" s="42"/>
      <c r="Q71" s="42"/>
      <c r="R71" s="42"/>
      <c r="S71" s="42"/>
      <c r="T71" s="42"/>
      <c r="U71" s="42"/>
      <c r="V71" s="41"/>
      <c r="W71" s="41"/>
      <c r="X71" s="41"/>
      <c r="Y71" s="11"/>
      <c r="Z71" s="42"/>
      <c r="AA71" s="43"/>
      <c r="AB71" s="44"/>
      <c r="AC71" s="11"/>
    </row>
    <row r="72" spans="1:29" x14ac:dyDescent="0.2">
      <c r="A72" s="12"/>
      <c r="B72" s="12"/>
      <c r="C72" s="12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1"/>
      <c r="Z72" s="12"/>
      <c r="AA72" s="12"/>
      <c r="AB72" s="13"/>
      <c r="AC72" s="11"/>
    </row>
  </sheetData>
  <sheetProtection selectLockedCells="1" selectUnlockedCells="1"/>
  <mergeCells count="7">
    <mergeCell ref="C62:X62"/>
    <mergeCell ref="A2:AB2"/>
    <mergeCell ref="A3:AB3"/>
    <mergeCell ref="A4:B4"/>
    <mergeCell ref="C59:X59"/>
    <mergeCell ref="C60:X60"/>
    <mergeCell ref="C61:X61"/>
  </mergeCells>
  <pageMargins left="0.39370078740157483" right="0.19685039370078741" top="0.23622047244094491" bottom="0.31496062992125984" header="0" footer="0"/>
  <pageSetup paperSize="9" scale="61" fitToHeight="2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17" customWidth="1"/>
    <col min="2" max="2" width="13.28515625" style="17" customWidth="1"/>
    <col min="3" max="3" width="19.7109375" style="17" customWidth="1"/>
    <col min="4" max="4" width="22.140625" style="17" customWidth="1"/>
    <col min="5" max="5" width="18.85546875" style="17" customWidth="1"/>
    <col min="6" max="16384" width="9.140625" style="17"/>
  </cols>
  <sheetData>
    <row r="1" spans="1:4" ht="12" customHeight="1" x14ac:dyDescent="0.2"/>
    <row r="2" spans="1:4" x14ac:dyDescent="0.2">
      <c r="A2" s="18" t="s">
        <v>58</v>
      </c>
      <c r="B2" s="18" t="s">
        <v>59</v>
      </c>
      <c r="C2" s="18" t="s">
        <v>60</v>
      </c>
      <c r="D2" s="18" t="s">
        <v>61</v>
      </c>
    </row>
    <row r="3" spans="1:4" ht="13.5" thickBot="1" x14ac:dyDescent="0.25">
      <c r="A3" s="77" t="s">
        <v>62</v>
      </c>
      <c r="B3" s="19">
        <v>1</v>
      </c>
      <c r="C3" s="19">
        <v>0.7</v>
      </c>
      <c r="D3" s="20">
        <v>0.61</v>
      </c>
    </row>
    <row r="4" spans="1:4" ht="14.25" thickTop="1" thickBot="1" x14ac:dyDescent="0.25">
      <c r="A4" s="77"/>
      <c r="B4" s="19">
        <v>1.43</v>
      </c>
      <c r="C4" s="19">
        <v>1</v>
      </c>
      <c r="D4" s="20">
        <v>0.87</v>
      </c>
    </row>
    <row r="5" spans="1:4" ht="14.25" thickTop="1" thickBot="1" x14ac:dyDescent="0.25">
      <c r="A5" s="77"/>
      <c r="B5" s="21">
        <v>1.65</v>
      </c>
      <c r="C5" s="21">
        <v>1.1499999999999999</v>
      </c>
      <c r="D5" s="22">
        <v>1</v>
      </c>
    </row>
    <row r="6" spans="1:4" ht="14.25" thickTop="1" thickBot="1" x14ac:dyDescent="0.25">
      <c r="A6" s="77" t="s">
        <v>63</v>
      </c>
      <c r="B6" s="19">
        <v>1</v>
      </c>
      <c r="C6" s="19">
        <v>0.61</v>
      </c>
      <c r="D6" s="20">
        <v>0.57999999999999996</v>
      </c>
    </row>
    <row r="7" spans="1:4" ht="14.25" thickTop="1" thickBot="1" x14ac:dyDescent="0.25">
      <c r="A7" s="77"/>
      <c r="B7" s="19">
        <v>1.64</v>
      </c>
      <c r="C7" s="19">
        <v>1</v>
      </c>
      <c r="D7" s="20">
        <v>0.95</v>
      </c>
    </row>
    <row r="8" spans="1:4" ht="14.25" thickTop="1" thickBot="1" x14ac:dyDescent="0.25">
      <c r="A8" s="77"/>
      <c r="B8" s="21">
        <v>1.74</v>
      </c>
      <c r="C8" s="21">
        <v>1.06</v>
      </c>
      <c r="D8" s="22">
        <v>1</v>
      </c>
    </row>
    <row r="9" spans="1:4" ht="14.25" thickTop="1" thickBot="1" x14ac:dyDescent="0.25">
      <c r="A9" s="77" t="s">
        <v>64</v>
      </c>
      <c r="B9" s="19">
        <v>1</v>
      </c>
      <c r="C9" s="19">
        <v>0.5</v>
      </c>
      <c r="D9" s="20">
        <v>0.34</v>
      </c>
    </row>
    <row r="10" spans="1:4" ht="14.25" thickTop="1" thickBot="1" x14ac:dyDescent="0.25">
      <c r="A10" s="77"/>
      <c r="B10" s="19">
        <v>2</v>
      </c>
      <c r="C10" s="19">
        <v>1</v>
      </c>
      <c r="D10" s="20">
        <v>0.68</v>
      </c>
    </row>
    <row r="11" spans="1:4" ht="14.25" thickTop="1" thickBot="1" x14ac:dyDescent="0.25">
      <c r="A11" s="77"/>
      <c r="B11" s="21">
        <v>2.94</v>
      </c>
      <c r="C11" s="21">
        <v>1.47</v>
      </c>
      <c r="D11" s="22">
        <v>1</v>
      </c>
    </row>
    <row r="12" spans="1:4" s="24" customFormat="1" ht="28.5" customHeight="1" thickTop="1" thickBot="1" x14ac:dyDescent="0.25">
      <c r="A12" s="23" t="s">
        <v>65</v>
      </c>
      <c r="B12" s="78" t="s">
        <v>66</v>
      </c>
      <c r="C12" s="78"/>
      <c r="D12" s="78"/>
    </row>
    <row r="13" spans="1:4" ht="13.5" thickTop="1" x14ac:dyDescent="0.2">
      <c r="A13" s="25" t="s">
        <v>67</v>
      </c>
    </row>
    <row r="16" spans="1:4" x14ac:dyDescent="0.2">
      <c r="A16" s="79" t="s">
        <v>96</v>
      </c>
      <c r="B16" s="32" t="s">
        <v>99</v>
      </c>
      <c r="C16" s="32" t="s">
        <v>98</v>
      </c>
      <c r="D16" s="32" t="s">
        <v>97</v>
      </c>
    </row>
    <row r="17" spans="1:4" x14ac:dyDescent="0.2">
      <c r="A17" s="80"/>
      <c r="B17" s="33">
        <v>1.39</v>
      </c>
      <c r="C17" s="34">
        <v>1</v>
      </c>
      <c r="D17" s="34">
        <v>1</v>
      </c>
    </row>
    <row r="19" spans="1:4" x14ac:dyDescent="0.2">
      <c r="A19" s="26" t="s">
        <v>68</v>
      </c>
      <c r="B19" s="27" t="s">
        <v>69</v>
      </c>
      <c r="C19" s="27" t="s">
        <v>70</v>
      </c>
      <c r="D19" s="27" t="s">
        <v>71</v>
      </c>
    </row>
    <row r="20" spans="1:4" x14ac:dyDescent="0.2">
      <c r="A20" s="28" t="s">
        <v>72</v>
      </c>
      <c r="B20" s="29">
        <v>415</v>
      </c>
      <c r="C20" s="29">
        <v>356</v>
      </c>
      <c r="D20" s="29">
        <f>AVERAGE(B20:C20)</f>
        <v>385.5</v>
      </c>
    </row>
    <row r="21" spans="1:4" x14ac:dyDescent="0.2">
      <c r="A21" s="30" t="s">
        <v>73</v>
      </c>
      <c r="B21" s="30"/>
      <c r="C21" s="30"/>
      <c r="D21" s="30"/>
    </row>
    <row r="23" spans="1:4" x14ac:dyDescent="0.2">
      <c r="A23" s="35" t="s">
        <v>101</v>
      </c>
      <c r="B23" s="31"/>
      <c r="C23" s="31"/>
      <c r="D23" s="31"/>
    </row>
    <row r="24" spans="1:4" x14ac:dyDescent="0.2">
      <c r="A24" s="75" t="s">
        <v>100</v>
      </c>
      <c r="B24" s="75"/>
      <c r="C24" s="75"/>
      <c r="D24" s="75"/>
    </row>
    <row r="25" spans="1:4" x14ac:dyDescent="0.2">
      <c r="A25" s="75"/>
      <c r="B25" s="75"/>
      <c r="C25" s="75"/>
      <c r="D25" s="75"/>
    </row>
    <row r="26" spans="1:4" x14ac:dyDescent="0.2">
      <c r="A26" s="75"/>
      <c r="B26" s="75"/>
      <c r="C26" s="75"/>
      <c r="D26" s="75"/>
    </row>
    <row r="27" spans="1:4" x14ac:dyDescent="0.2">
      <c r="A27" s="75"/>
      <c r="B27" s="75"/>
      <c r="C27" s="75"/>
      <c r="D27" s="75"/>
    </row>
    <row r="28" spans="1:4" x14ac:dyDescent="0.2">
      <c r="A28" s="76"/>
      <c r="B28" s="76"/>
      <c r="C28" s="76"/>
      <c r="D28" s="76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FORMULÁRIO</vt:lpstr>
      <vt:lpstr>Fatores e notas</vt:lpstr>
      <vt:lpstr>FORMULÁRIO!Area_de_impressao</vt:lpstr>
      <vt:lpstr>FORMULÁRIO!Titulos_de_impressao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cp:lastPrinted>2024-07-03T17:40:02Z</cp:lastPrinted>
  <dcterms:created xsi:type="dcterms:W3CDTF">2020-06-24T18:57:09Z</dcterms:created>
  <dcterms:modified xsi:type="dcterms:W3CDTF">2025-12-16T12:07:05Z</dcterms:modified>
</cp:coreProperties>
</file>