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FORMULÁRIO!$A$1:$AB$75</definedName>
    <definedName name="Excel_BuiltIn__FilterDatabase" localSheetId="0">FORMULÁRIO!#REF!</definedName>
  </definedNames>
  <calcPr calcId="124519" iterateDelta="1E-4"/>
</workbook>
</file>

<file path=xl/calcChain.xml><?xml version="1.0" encoding="utf-8"?>
<calcChain xmlns="http://schemas.openxmlformats.org/spreadsheetml/2006/main">
  <c r="AA32" i="1"/>
  <c r="AB32" s="1"/>
  <c r="AA30"/>
  <c r="AB30" s="1"/>
  <c r="AA31"/>
  <c r="AB31" s="1"/>
  <c r="AB63"/>
  <c r="AA19"/>
  <c r="AB19" s="1"/>
  <c r="AA73"/>
  <c r="AA74"/>
  <c r="AB74" s="1"/>
  <c r="AA72"/>
  <c r="AA69"/>
  <c r="AA68"/>
  <c r="AA47"/>
  <c r="AA48"/>
  <c r="AB48" s="1"/>
  <c r="AA49"/>
  <c r="AB49" s="1"/>
  <c r="AA50"/>
  <c r="AA51"/>
  <c r="AB51" s="1"/>
  <c r="AA52"/>
  <c r="AA53"/>
  <c r="AB53" s="1"/>
  <c r="AA54"/>
  <c r="AA55"/>
  <c r="AA56"/>
  <c r="AB56" s="1"/>
  <c r="AA57"/>
  <c r="AB57" s="1"/>
  <c r="AA58"/>
  <c r="AA59"/>
  <c r="AB59" s="1"/>
  <c r="AA60"/>
  <c r="AA46"/>
  <c r="AA39"/>
  <c r="AA40"/>
  <c r="AA41"/>
  <c r="AA42"/>
  <c r="AA43"/>
  <c r="AA38"/>
  <c r="AA35"/>
  <c r="AA26"/>
  <c r="AA27"/>
  <c r="AA28"/>
  <c r="AA29"/>
  <c r="AB29" s="1"/>
  <c r="AA9"/>
  <c r="AB9" s="1"/>
  <c r="AA10"/>
  <c r="AB10" s="1"/>
  <c r="AA11"/>
  <c r="AB11" s="1"/>
  <c r="AA12"/>
  <c r="AB12" s="1"/>
  <c r="AA13"/>
  <c r="AA14"/>
  <c r="AA15"/>
  <c r="AB15" s="1"/>
  <c r="AA16"/>
  <c r="AB16" s="1"/>
  <c r="AA17"/>
  <c r="AA18"/>
  <c r="AA20"/>
  <c r="AA21"/>
  <c r="AA22"/>
  <c r="AA23"/>
  <c r="AA8"/>
  <c r="D20" i="3"/>
  <c r="AB23" i="1" l="1"/>
  <c r="AB42"/>
  <c r="AB58"/>
  <c r="AB27"/>
  <c r="AB40"/>
  <c r="AB18"/>
  <c r="AB20"/>
  <c r="AB35"/>
  <c r="AB69"/>
  <c r="AB46"/>
  <c r="AB60"/>
  <c r="AB73"/>
  <c r="AB55"/>
  <c r="AA61"/>
  <c r="AB61" s="1"/>
  <c r="AB52"/>
  <c r="AB13"/>
  <c r="AB72"/>
  <c r="AB21"/>
  <c r="AB41"/>
  <c r="AB14"/>
  <c r="AB17"/>
  <c r="AB26"/>
  <c r="AB28"/>
  <c r="AB22"/>
  <c r="AB54"/>
  <c r="AA62"/>
  <c r="AB62" s="1"/>
  <c r="AB39"/>
  <c r="AB68"/>
  <c r="AB50"/>
  <c r="AB47"/>
  <c r="AB8"/>
  <c r="AB43"/>
  <c r="AB38"/>
</calcChain>
</file>

<file path=xl/sharedStrings.xml><?xml version="1.0" encoding="utf-8"?>
<sst xmlns="http://schemas.openxmlformats.org/spreadsheetml/2006/main" count="166" uniqueCount="119">
  <si>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</si>
  <si>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</si>
  <si>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</si>
  <si>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</si>
  <si>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</si>
  <si>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</si>
  <si>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</si>
  <si>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</si>
  <si>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</si>
  <si>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</si>
  <si>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</si>
  <si>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</si>
  <si>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</si>
  <si>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</si>
  <si>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</si>
  <si>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</si>
  <si>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</si>
  <si>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</si>
  <si>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</si>
  <si>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</si>
  <si>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</si>
  <si>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</si>
  <si>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</si>
  <si>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</si>
  <si>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</si>
  <si>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</si>
  <si>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</si>
  <si>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</si>
  <si>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</si>
  <si>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</si>
  <si>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</si>
  <si>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</si>
  <si>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</si>
  <si>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</si>
  <si>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</si>
  <si>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</si>
  <si>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</si>
  <si>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</si>
  <si>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</si>
  <si>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</si>
  <si>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</si>
  <si>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</si>
  <si>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</si>
  <si>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</si>
  <si>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</si>
  <si>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</si>
  <si>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</si>
  <si>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</si>
  <si>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</si>
  <si>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</si>
  <si>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</si>
  <si>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>NÓ DE PINHO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</si>
  <si>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</si>
  <si>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</si>
  <si>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</si>
  <si>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</si>
  <si>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</si>
  <si>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</si>
  <si>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CAVACO LIMPO ONDE FOI PRODUZIDO</t>
  </si>
  <si>
    <t>R$/t</t>
  </si>
  <si>
    <t>CAVACO SUJO ONDE FOI PRODUZIDO</t>
  </si>
  <si>
    <t>MARAVALHA onde foi produzida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</si>
  <si>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</si>
  <si>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</si>
  <si>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</si>
  <si>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</si>
  <si>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</si>
  <si>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</si>
  <si>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</si>
  <si>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</si>
  <si>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</si>
  <si>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</si>
  <si>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</si>
  <si>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</si>
  <si>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</si>
  <si>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</si>
  <si>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</si>
  <si>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</si>
  <si>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</si>
  <si>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</si>
  <si>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</si>
  <si>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</si>
  <si>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</si>
  <si>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</si>
  <si>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ÁLAMO EM PÉ</t>
  </si>
  <si>
    <t>TORAS DE OUTRAS ESPÉCIES EM PÉ</t>
  </si>
  <si>
    <t>TORA PARA OUTRAS FINALIDADES (Por exemplo escoras para construção civil)</t>
  </si>
  <si>
    <t>Lenha, resíduos de colheita e nó de pinho</t>
  </si>
  <si>
    <t>LENHA POSTA NO CONSUMIDOR</t>
  </si>
  <si>
    <t>Cavacos e maravalha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</si>
  <si>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</si>
  <si>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</si>
  <si>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</si>
  <si>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</si>
  <si>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</si>
  <si>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</si>
  <si>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</si>
  <si>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</si>
  <si>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</si>
  <si>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</si>
  <si>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</si>
  <si>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</si>
  <si>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</si>
  <si>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</si>
  <si>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</si>
  <si>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</si>
  <si>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</si>
  <si>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</si>
  <si>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</si>
  <si>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Eucalyptus urophylla 1528, 2070</t>
  </si>
  <si>
    <t>Eucalyptus urophylla GG100, GG157, 2361</t>
  </si>
  <si>
    <t>TORA PARA PROCESSO (Inclui madeira para papel e celulose e para painéis reconstituídos) EM PÉ - em geral de 8 a 18 cm</t>
  </si>
  <si>
    <t>Cianorte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</si>
  <si>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</si>
  <si>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</si>
  <si>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</si>
  <si>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ERVA-MATE - llex paraguariensis</t>
  </si>
  <si>
    <t>Referência: novembro de 2022</t>
  </si>
  <si>
    <t>Eucalyptus saligna</t>
  </si>
</sst>
</file>

<file path=xl/styles.xml><?xml version="1.0" encoding="utf-8"?>
<styleSheet xmlns="http://schemas.openxmlformats.org/spreadsheetml/2006/main">
  <fonts count="14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2" fillId="0" borderId="5" xfId="0" applyNumberFormat="1" applyFont="1" applyFill="1" applyBorder="1" applyAlignment="1">
      <alignment wrapTex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wrapText="1" shrinkToFit="1"/>
    </xf>
    <xf numFmtId="0" fontId="3" fillId="0" borderId="7" xfId="0" applyFont="1" applyFill="1" applyBorder="1" applyAlignment="1">
      <alignment horizontal="left" shrinkToFit="1"/>
    </xf>
    <xf numFmtId="2" fontId="3" fillId="0" borderId="7" xfId="0" applyNumberFormat="1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Border="1"/>
    <xf numFmtId="2" fontId="2" fillId="0" borderId="0" xfId="0" applyNumberFormat="1" applyFont="1" applyBorder="1"/>
    <xf numFmtId="9" fontId="2" fillId="0" borderId="0" xfId="0" applyNumberFormat="1" applyFont="1" applyBorder="1"/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24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5"/>
  <sheetViews>
    <sheetView tabSelected="1" defaultGridColor="0" colorId="9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"/>
    </sheetView>
  </sheetViews>
  <sheetFormatPr defaultRowHeight="12.75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8" s="30" customForma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Z1" s="31"/>
      <c r="AA1" s="31"/>
      <c r="AB1" s="32"/>
    </row>
    <row r="2" spans="1:28" s="30" customFormat="1">
      <c r="A2" s="71" t="s">
        <v>92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s="30" customFormat="1">
      <c r="A3" s="71" t="s">
        <v>91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8" s="30" customFormat="1">
      <c r="A4" s="72" t="s">
        <v>93</v>
      </c>
      <c r="B4" s="72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Z4" s="31"/>
      <c r="AA4" s="31"/>
      <c r="AB4" s="32"/>
    </row>
    <row r="5" spans="1:28" s="30" customFormat="1">
      <c r="A5" s="33" t="s">
        <v>117</v>
      </c>
      <c r="B5" s="33"/>
      <c r="C5" s="37"/>
      <c r="D5" s="37"/>
      <c r="E5" s="67"/>
      <c r="F5" s="6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67"/>
      <c r="V5" s="37"/>
      <c r="W5" s="67"/>
      <c r="X5" s="67"/>
      <c r="Z5" s="37"/>
      <c r="AA5" s="31"/>
      <c r="AB5" s="32"/>
    </row>
    <row r="6" spans="1:28" ht="91.5" customHeight="1">
      <c r="A6" s="61" t="s">
        <v>0</v>
      </c>
      <c r="B6" s="62" t="s">
        <v>1</v>
      </c>
      <c r="C6" s="3" t="s">
        <v>2</v>
      </c>
      <c r="D6" s="3" t="s">
        <v>3</v>
      </c>
      <c r="E6" s="3" t="s">
        <v>4</v>
      </c>
      <c r="F6" s="3" t="s">
        <v>112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60" t="s">
        <v>23</v>
      </c>
      <c r="AA6" s="4" t="s">
        <v>24</v>
      </c>
      <c r="AB6" s="5" t="s">
        <v>25</v>
      </c>
    </row>
    <row r="7" spans="1:28" ht="13.5" thickBot="1">
      <c r="A7" s="39" t="s">
        <v>101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Z7" s="6"/>
      <c r="AA7" s="6"/>
      <c r="AB7" s="6"/>
    </row>
    <row r="8" spans="1:28" ht="12.75" customHeight="1">
      <c r="A8" s="7" t="s">
        <v>94</v>
      </c>
      <c r="B8" s="15" t="s">
        <v>26</v>
      </c>
      <c r="C8" s="8"/>
      <c r="D8" s="8">
        <v>0.7</v>
      </c>
      <c r="E8" s="8"/>
      <c r="F8" s="8"/>
      <c r="G8" s="8">
        <v>0.7</v>
      </c>
      <c r="H8" s="8"/>
      <c r="I8" s="8"/>
      <c r="J8" s="8"/>
      <c r="K8" s="8"/>
      <c r="L8" s="8">
        <v>0.7</v>
      </c>
      <c r="M8" s="8">
        <v>0.8</v>
      </c>
      <c r="N8" s="8"/>
      <c r="O8" s="8"/>
      <c r="P8" s="8"/>
      <c r="Q8" s="8"/>
      <c r="R8" s="8">
        <v>0.75</v>
      </c>
      <c r="S8" s="8">
        <v>0.8</v>
      </c>
      <c r="T8" s="8"/>
      <c r="U8" s="8">
        <v>0.8</v>
      </c>
      <c r="V8" s="8"/>
      <c r="W8" s="8">
        <v>0.7</v>
      </c>
      <c r="X8" s="8"/>
      <c r="Z8" s="8">
        <v>0.7</v>
      </c>
      <c r="AA8" s="9">
        <f>AVERAGE(C8:X8)</f>
        <v>0.74374999999999991</v>
      </c>
      <c r="AB8" s="10">
        <f t="shared" ref="AB8:AB18" si="0">AA8/Z8-1</f>
        <v>6.25E-2</v>
      </c>
    </row>
    <row r="9" spans="1:28" ht="12.75" customHeight="1">
      <c r="A9" s="7" t="s">
        <v>27</v>
      </c>
      <c r="B9" s="15" t="s">
        <v>26</v>
      </c>
      <c r="C9" s="8"/>
      <c r="D9" s="8"/>
      <c r="E9" s="8"/>
      <c r="F9" s="8"/>
      <c r="G9" s="8">
        <v>0.7</v>
      </c>
      <c r="H9" s="8"/>
      <c r="I9" s="8"/>
      <c r="J9" s="8"/>
      <c r="K9" s="8"/>
      <c r="L9" s="8"/>
      <c r="M9" s="8"/>
      <c r="N9" s="8"/>
      <c r="O9" s="8"/>
      <c r="P9" s="8"/>
      <c r="Q9" s="8"/>
      <c r="R9" s="8">
        <v>0.75</v>
      </c>
      <c r="S9" s="8"/>
      <c r="T9" s="8"/>
      <c r="U9" s="8">
        <v>0.8</v>
      </c>
      <c r="V9" s="8"/>
      <c r="W9" s="8"/>
      <c r="X9" s="8"/>
      <c r="Z9" s="8">
        <v>0.70000000000000007</v>
      </c>
      <c r="AA9" s="9">
        <f t="shared" ref="AA9:AA23" si="1">AVERAGE(C9:X9)</f>
        <v>0.75</v>
      </c>
      <c r="AB9" s="10">
        <f t="shared" si="0"/>
        <v>7.1428571428571397E-2</v>
      </c>
    </row>
    <row r="10" spans="1:28" ht="12.75" customHeight="1">
      <c r="A10" s="7" t="s">
        <v>28</v>
      </c>
      <c r="B10" s="15" t="s">
        <v>26</v>
      </c>
      <c r="C10" s="8"/>
      <c r="D10" s="8"/>
      <c r="E10" s="8"/>
      <c r="F10" s="8"/>
      <c r="G10" s="8">
        <v>0.7</v>
      </c>
      <c r="H10" s="8">
        <v>0.58499999999999996</v>
      </c>
      <c r="I10" s="8"/>
      <c r="J10" s="8">
        <v>0.66</v>
      </c>
      <c r="K10" s="8">
        <v>0.6</v>
      </c>
      <c r="L10" s="8"/>
      <c r="M10" s="8">
        <v>0.8</v>
      </c>
      <c r="N10" s="8"/>
      <c r="O10" s="8"/>
      <c r="P10" s="8"/>
      <c r="Q10" s="8"/>
      <c r="R10" s="8">
        <v>0.75</v>
      </c>
      <c r="S10" s="8">
        <v>0.8</v>
      </c>
      <c r="T10" s="8"/>
      <c r="U10" s="8">
        <v>0.8</v>
      </c>
      <c r="V10" s="8">
        <v>0.85</v>
      </c>
      <c r="W10" s="8"/>
      <c r="X10" s="8">
        <v>0.6</v>
      </c>
      <c r="Z10" s="8">
        <v>0.69888888888888878</v>
      </c>
      <c r="AA10" s="9">
        <f t="shared" si="1"/>
        <v>0.71449999999999991</v>
      </c>
      <c r="AB10" s="10">
        <f t="shared" si="0"/>
        <v>2.2337042925278272E-2</v>
      </c>
    </row>
    <row r="11" spans="1:28" ht="12.75" customHeight="1">
      <c r="A11" s="7" t="s">
        <v>29</v>
      </c>
      <c r="B11" s="15" t="s">
        <v>26</v>
      </c>
      <c r="C11" s="8"/>
      <c r="D11" s="8"/>
      <c r="E11" s="8"/>
      <c r="F11" s="8">
        <v>1</v>
      </c>
      <c r="G11" s="8">
        <v>0.7</v>
      </c>
      <c r="H11" s="8">
        <v>0.625</v>
      </c>
      <c r="I11" s="8"/>
      <c r="J11" s="8"/>
      <c r="K11" s="8"/>
      <c r="L11" s="8">
        <v>0.7</v>
      </c>
      <c r="M11" s="8">
        <v>0.95</v>
      </c>
      <c r="N11" s="8"/>
      <c r="O11" s="8">
        <v>1</v>
      </c>
      <c r="P11" s="8"/>
      <c r="Q11" s="8"/>
      <c r="R11" s="8">
        <v>0.75</v>
      </c>
      <c r="S11" s="8">
        <v>0.8</v>
      </c>
      <c r="T11" s="8"/>
      <c r="U11" s="8">
        <v>0.8</v>
      </c>
      <c r="V11" s="8"/>
      <c r="W11" s="8">
        <v>0.7</v>
      </c>
      <c r="X11" s="8"/>
      <c r="Z11" s="8">
        <v>0.69699999999999995</v>
      </c>
      <c r="AA11" s="9">
        <f t="shared" si="1"/>
        <v>0.80249999999999999</v>
      </c>
      <c r="AB11" s="10">
        <f t="shared" si="0"/>
        <v>0.15136298421807748</v>
      </c>
    </row>
    <row r="12" spans="1:28" ht="12.75" customHeight="1">
      <c r="A12" s="7" t="s">
        <v>30</v>
      </c>
      <c r="B12" s="15" t="s">
        <v>26</v>
      </c>
      <c r="C12" s="8"/>
      <c r="D12" s="8"/>
      <c r="E12" s="8"/>
      <c r="F12" s="8"/>
      <c r="G12" s="8">
        <v>0.7</v>
      </c>
      <c r="H12" s="8"/>
      <c r="I12" s="8"/>
      <c r="J12" s="8"/>
      <c r="K12" s="8"/>
      <c r="L12" s="8"/>
      <c r="M12" s="8">
        <v>1</v>
      </c>
      <c r="N12" s="8"/>
      <c r="O12" s="8"/>
      <c r="P12" s="8"/>
      <c r="Q12" s="8"/>
      <c r="R12" s="8"/>
      <c r="S12" s="8"/>
      <c r="T12" s="8"/>
      <c r="U12" s="8">
        <v>0.8</v>
      </c>
      <c r="V12" s="8"/>
      <c r="W12" s="8"/>
      <c r="X12" s="8">
        <v>0.6</v>
      </c>
      <c r="Z12" s="8">
        <v>0.68333333333333324</v>
      </c>
      <c r="AA12" s="9">
        <f t="shared" si="1"/>
        <v>0.77500000000000002</v>
      </c>
      <c r="AB12" s="10">
        <f t="shared" si="0"/>
        <v>0.13414634146341475</v>
      </c>
    </row>
    <row r="13" spans="1:28" ht="12.75" customHeight="1">
      <c r="A13" s="7" t="s">
        <v>31</v>
      </c>
      <c r="B13" s="15" t="s">
        <v>26</v>
      </c>
      <c r="C13" s="8"/>
      <c r="D13" s="8"/>
      <c r="E13" s="8"/>
      <c r="F13" s="8"/>
      <c r="G13" s="8"/>
      <c r="H13" s="8"/>
      <c r="I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Z13" s="8"/>
      <c r="AA13" s="9" t="e">
        <f t="shared" si="1"/>
        <v>#DIV/0!</v>
      </c>
      <c r="AB13" s="10" t="e">
        <f t="shared" si="0"/>
        <v>#DIV/0!</v>
      </c>
    </row>
    <row r="14" spans="1:28" ht="12.75" customHeight="1">
      <c r="A14" s="7" t="s">
        <v>32</v>
      </c>
      <c r="B14" s="15" t="s">
        <v>26</v>
      </c>
      <c r="C14" s="8"/>
      <c r="D14" s="8"/>
      <c r="E14" s="8"/>
      <c r="F14" s="8"/>
      <c r="G14" s="8"/>
      <c r="H14" s="8">
        <v>0.67500000000000004</v>
      </c>
      <c r="I14" s="8"/>
      <c r="J14" s="8">
        <v>0.72</v>
      </c>
      <c r="K14" s="8"/>
      <c r="L14" s="8"/>
      <c r="M14" s="8">
        <v>0.9</v>
      </c>
      <c r="N14" s="8"/>
      <c r="O14" s="8"/>
      <c r="P14" s="8"/>
      <c r="Q14" s="8"/>
      <c r="R14" s="8">
        <v>0.75</v>
      </c>
      <c r="S14" s="8">
        <v>0.8</v>
      </c>
      <c r="T14" s="8"/>
      <c r="U14" s="8">
        <v>0.8</v>
      </c>
      <c r="V14" s="8"/>
      <c r="W14" s="8"/>
      <c r="X14" s="8">
        <v>0.6</v>
      </c>
      <c r="Z14" s="8">
        <v>0.73428571428571421</v>
      </c>
      <c r="AA14" s="9">
        <f t="shared" si="1"/>
        <v>0.74928571428571422</v>
      </c>
      <c r="AB14" s="10">
        <f t="shared" si="0"/>
        <v>2.0428015564202262E-2</v>
      </c>
    </row>
    <row r="15" spans="1:28" ht="12.75" customHeight="1">
      <c r="A15" s="7" t="s">
        <v>33</v>
      </c>
      <c r="B15" s="15" t="s">
        <v>26</v>
      </c>
      <c r="C15" s="8"/>
      <c r="D15" s="8"/>
      <c r="E15" s="8"/>
      <c r="F15" s="8"/>
      <c r="G15" s="8"/>
      <c r="H15" s="8"/>
      <c r="I15" s="8"/>
      <c r="K15" s="8"/>
      <c r="L15" s="8"/>
      <c r="M15" s="8">
        <v>0.95</v>
      </c>
      <c r="N15" s="8"/>
      <c r="O15" s="8"/>
      <c r="P15" s="8"/>
      <c r="Q15" s="8"/>
      <c r="R15" s="8">
        <v>0.75</v>
      </c>
      <c r="S15" s="8"/>
      <c r="T15" s="8"/>
      <c r="U15" s="8">
        <v>0.8</v>
      </c>
      <c r="V15" s="8"/>
      <c r="W15" s="8">
        <v>0.7</v>
      </c>
      <c r="X15" s="8"/>
      <c r="Z15" s="11">
        <v>0.71000000000000008</v>
      </c>
      <c r="AA15" s="9">
        <f t="shared" si="1"/>
        <v>0.8</v>
      </c>
      <c r="AB15" s="10">
        <f t="shared" si="0"/>
        <v>0.12676056338028174</v>
      </c>
    </row>
    <row r="16" spans="1:28" ht="12.75" customHeight="1">
      <c r="A16" s="7" t="s">
        <v>34</v>
      </c>
      <c r="B16" s="15" t="s">
        <v>26</v>
      </c>
      <c r="C16" s="8"/>
      <c r="D16" s="8">
        <v>0.7</v>
      </c>
      <c r="E16" s="8"/>
      <c r="F16" s="8"/>
      <c r="G16" s="8"/>
      <c r="H16" s="8"/>
      <c r="I16" s="8"/>
      <c r="J16" s="8">
        <v>0.8</v>
      </c>
      <c r="K16" s="8">
        <v>0.65</v>
      </c>
      <c r="L16" s="8">
        <v>0.7</v>
      </c>
      <c r="M16" s="8">
        <v>1.1499999999999999</v>
      </c>
      <c r="N16" s="8"/>
      <c r="O16" s="8"/>
      <c r="P16" s="8"/>
      <c r="Q16" s="8"/>
      <c r="R16" s="8"/>
      <c r="S16" s="8">
        <v>0.8</v>
      </c>
      <c r="T16" s="8"/>
      <c r="U16" s="8">
        <v>0.95</v>
      </c>
      <c r="V16" s="8"/>
      <c r="W16" s="8"/>
      <c r="X16" s="8">
        <v>0.65</v>
      </c>
      <c r="Z16" s="8">
        <v>0.78857142857142859</v>
      </c>
      <c r="AA16" s="9">
        <f t="shared" si="1"/>
        <v>0.8</v>
      </c>
      <c r="AB16" s="10">
        <f t="shared" si="0"/>
        <v>1.449275362318847E-2</v>
      </c>
    </row>
    <row r="17" spans="1:28" ht="12.75" customHeight="1">
      <c r="A17" s="7" t="s">
        <v>35</v>
      </c>
      <c r="B17" s="15" t="s">
        <v>26</v>
      </c>
      <c r="C17" s="8"/>
      <c r="D17" s="8"/>
      <c r="E17" s="8"/>
      <c r="F17" s="8"/>
      <c r="G17" s="8"/>
      <c r="H17" s="8">
        <v>0.71</v>
      </c>
      <c r="I17" s="11"/>
      <c r="J17" s="8">
        <v>0.81</v>
      </c>
      <c r="K17" s="8">
        <v>0.7</v>
      </c>
      <c r="L17" s="8">
        <v>0.7</v>
      </c>
      <c r="M17" s="8">
        <v>1.05</v>
      </c>
      <c r="N17" s="8"/>
      <c r="O17" s="8"/>
      <c r="P17" s="8"/>
      <c r="Q17" s="8"/>
      <c r="R17" s="8"/>
      <c r="S17" s="8">
        <v>0.8</v>
      </c>
      <c r="T17" s="8"/>
      <c r="U17" s="8">
        <v>0.8</v>
      </c>
      <c r="V17" s="8"/>
      <c r="W17" s="8"/>
      <c r="X17" s="8">
        <v>0.7</v>
      </c>
      <c r="Z17" s="8">
        <v>0.75250000000000006</v>
      </c>
      <c r="AA17" s="9">
        <f t="shared" si="1"/>
        <v>0.78374999999999995</v>
      </c>
      <c r="AB17" s="10">
        <f t="shared" si="0"/>
        <v>4.1528239202657691E-2</v>
      </c>
    </row>
    <row r="18" spans="1:28" ht="12.75" customHeight="1">
      <c r="A18" s="7" t="s">
        <v>36</v>
      </c>
      <c r="B18" s="15" t="s">
        <v>26</v>
      </c>
      <c r="C18" s="8"/>
      <c r="D18" s="8"/>
      <c r="E18" s="8"/>
      <c r="F18" s="8"/>
      <c r="G18" s="8">
        <v>0.75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Z18" s="8"/>
      <c r="AA18" s="9">
        <f t="shared" si="1"/>
        <v>0.75</v>
      </c>
      <c r="AB18" s="10" t="e">
        <f t="shared" si="0"/>
        <v>#DIV/0!</v>
      </c>
    </row>
    <row r="19" spans="1:28" ht="12.75" customHeight="1">
      <c r="A19" s="7" t="s">
        <v>38</v>
      </c>
      <c r="B19" s="15" t="s">
        <v>26</v>
      </c>
      <c r="C19" s="8"/>
      <c r="D19" s="8"/>
      <c r="E19" s="8"/>
      <c r="F19" s="8"/>
      <c r="G19" s="8">
        <v>2</v>
      </c>
      <c r="H19" s="8"/>
      <c r="I19" s="8"/>
      <c r="J19" s="8">
        <v>2.0499999999999998</v>
      </c>
      <c r="K19" s="8"/>
      <c r="L19" s="8"/>
      <c r="M19" s="8"/>
      <c r="N19" s="8"/>
      <c r="O19" s="8"/>
      <c r="P19" s="8"/>
      <c r="Q19" s="8"/>
      <c r="R19" s="8"/>
      <c r="S19" s="8">
        <v>2.5</v>
      </c>
      <c r="T19" s="8"/>
      <c r="U19" s="8">
        <v>2.5</v>
      </c>
      <c r="V19" s="8"/>
      <c r="W19" s="8"/>
      <c r="X19" s="8">
        <v>1.5</v>
      </c>
      <c r="Z19" s="8">
        <v>2.4750000000000001</v>
      </c>
      <c r="AA19" s="9">
        <f t="shared" si="1"/>
        <v>2.1100000000000003</v>
      </c>
      <c r="AB19" s="10">
        <f>AA19/Z19-1</f>
        <v>-0.14747474747474743</v>
      </c>
    </row>
    <row r="20" spans="1:28" ht="12.75" customHeight="1">
      <c r="A20" s="7" t="s">
        <v>115</v>
      </c>
      <c r="B20" s="15" t="s">
        <v>26</v>
      </c>
      <c r="C20" s="8"/>
      <c r="D20" s="8"/>
      <c r="E20" s="8"/>
      <c r="F20" s="8"/>
      <c r="G20" s="8"/>
      <c r="H20" s="8"/>
      <c r="I20" s="8"/>
      <c r="J20" s="8">
        <v>1.97</v>
      </c>
      <c r="K20" s="8">
        <v>1.5</v>
      </c>
      <c r="L20" s="8"/>
      <c r="M20" s="8"/>
      <c r="N20" s="8"/>
      <c r="O20" s="8"/>
      <c r="P20" s="8"/>
      <c r="Q20" s="8"/>
      <c r="R20" s="8"/>
      <c r="S20" s="8">
        <v>1.5</v>
      </c>
      <c r="T20" s="8">
        <v>1.75</v>
      </c>
      <c r="U20" s="8">
        <v>1.5</v>
      </c>
      <c r="V20" s="8"/>
      <c r="W20" s="8"/>
      <c r="X20" s="8">
        <v>1.35</v>
      </c>
      <c r="Z20" s="8">
        <v>1.5916666666666668</v>
      </c>
      <c r="AA20" s="9">
        <f t="shared" si="1"/>
        <v>1.5949999999999998</v>
      </c>
      <c r="AB20" s="10">
        <f>AA20/Z20-1</f>
        <v>2.0942408376960486E-3</v>
      </c>
    </row>
    <row r="21" spans="1:28" ht="12.75" customHeight="1">
      <c r="A21" s="7" t="s">
        <v>39</v>
      </c>
      <c r="B21" s="15" t="s">
        <v>26</v>
      </c>
      <c r="C21" s="8">
        <v>6</v>
      </c>
      <c r="D21" s="8"/>
      <c r="E21" s="8"/>
      <c r="F21" s="8"/>
      <c r="G21" s="8">
        <v>2.4</v>
      </c>
      <c r="H21" s="8"/>
      <c r="I21" s="8"/>
      <c r="J21" s="8"/>
      <c r="K21" s="8"/>
      <c r="L21" s="8">
        <v>3.5</v>
      </c>
      <c r="M21" s="8"/>
      <c r="N21" s="8"/>
      <c r="O21" s="8">
        <v>3</v>
      </c>
      <c r="P21" s="8">
        <v>6</v>
      </c>
      <c r="Q21" s="8"/>
      <c r="R21" s="8"/>
      <c r="S21" s="8"/>
      <c r="T21" s="8"/>
      <c r="U21" s="8"/>
      <c r="V21" s="8"/>
      <c r="W21" s="8">
        <v>3</v>
      </c>
      <c r="X21" s="8"/>
      <c r="Z21" s="8">
        <v>3.7</v>
      </c>
      <c r="AA21" s="9">
        <f t="shared" si="1"/>
        <v>3.9833333333333329</v>
      </c>
      <c r="AB21" s="10">
        <f>AA21/Z21-1</f>
        <v>7.6576576576576461E-2</v>
      </c>
    </row>
    <row r="22" spans="1:28" ht="12.75" customHeight="1">
      <c r="A22" s="7" t="s">
        <v>40</v>
      </c>
      <c r="B22" s="15" t="s">
        <v>26</v>
      </c>
      <c r="C22" s="8"/>
      <c r="D22" s="8"/>
      <c r="E22" s="8"/>
      <c r="F22" s="8">
        <v>2</v>
      </c>
      <c r="G22" s="8">
        <v>2</v>
      </c>
      <c r="H22" s="8"/>
      <c r="I22" s="8"/>
      <c r="J22" s="8"/>
      <c r="K22" s="8"/>
      <c r="L22" s="8">
        <v>3</v>
      </c>
      <c r="M22" s="8"/>
      <c r="N22" s="8"/>
      <c r="O22" s="8">
        <v>3</v>
      </c>
      <c r="P22" s="8">
        <v>7</v>
      </c>
      <c r="Q22" s="8">
        <v>1.75</v>
      </c>
      <c r="R22" s="8"/>
      <c r="S22" s="8"/>
      <c r="T22" s="8"/>
      <c r="U22" s="8"/>
      <c r="V22" s="8"/>
      <c r="W22" s="8">
        <v>3</v>
      </c>
      <c r="X22" s="8"/>
      <c r="Z22" s="8">
        <v>2.8</v>
      </c>
      <c r="AA22" s="9">
        <f t="shared" si="1"/>
        <v>3.1071428571428572</v>
      </c>
      <c r="AB22" s="10">
        <f>AA22/Z22-1</f>
        <v>0.10969387755102056</v>
      </c>
    </row>
    <row r="23" spans="1:28" ht="12.75" customHeight="1">
      <c r="A23" s="7" t="s">
        <v>41</v>
      </c>
      <c r="B23" s="15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>
        <v>3.5</v>
      </c>
      <c r="X23" s="8">
        <v>1.5</v>
      </c>
      <c r="Z23" s="8">
        <v>2.25</v>
      </c>
      <c r="AA23" s="9">
        <f t="shared" si="1"/>
        <v>2.5</v>
      </c>
      <c r="AB23" s="10">
        <f>AA23/Z23-1</f>
        <v>0.11111111111111116</v>
      </c>
    </row>
    <row r="24" spans="1:28" ht="12.75" customHeight="1">
      <c r="A24" s="19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Z24" s="8"/>
      <c r="AA24" s="9"/>
      <c r="AB24" s="10"/>
    </row>
    <row r="25" spans="1:28" ht="12.75" customHeight="1" thickBot="1">
      <c r="A25" s="6" t="s">
        <v>100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Z25" s="6"/>
      <c r="AA25" s="6"/>
      <c r="AB25" s="6"/>
    </row>
    <row r="26" spans="1:28" ht="12.75" customHeight="1">
      <c r="A26" s="7" t="s">
        <v>114</v>
      </c>
      <c r="B26" s="15" t="s">
        <v>26</v>
      </c>
      <c r="C26" s="8"/>
      <c r="D26" s="8">
        <v>0.7</v>
      </c>
      <c r="E26" s="8">
        <v>0.9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</v>
      </c>
      <c r="Q26" s="8"/>
      <c r="R26" s="8"/>
      <c r="S26" s="8"/>
      <c r="T26" s="8"/>
      <c r="U26" s="8"/>
      <c r="V26" s="8"/>
      <c r="W26" s="8">
        <v>1</v>
      </c>
      <c r="X26" s="8"/>
      <c r="Z26" s="8">
        <v>0.75</v>
      </c>
      <c r="AA26" s="9">
        <f t="shared" ref="AA26:AA32" si="2">AVERAGE(C26:X26)</f>
        <v>0.9</v>
      </c>
      <c r="AB26" s="10">
        <f t="shared" ref="AB26:AB32" si="3">AA26/Z26-1</f>
        <v>0.19999999999999996</v>
      </c>
    </row>
    <row r="27" spans="1:28" ht="12.75" customHeight="1">
      <c r="A27" s="7" t="s">
        <v>109</v>
      </c>
      <c r="B27" s="15" t="s">
        <v>26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>
        <v>1</v>
      </c>
      <c r="X27" s="8"/>
      <c r="Z27" s="8">
        <v>0.7</v>
      </c>
      <c r="AA27" s="9">
        <f t="shared" si="2"/>
        <v>1</v>
      </c>
      <c r="AB27" s="10">
        <f t="shared" si="3"/>
        <v>0.4285714285714286</v>
      </c>
    </row>
    <row r="28" spans="1:28" ht="12.75" customHeight="1">
      <c r="A28" s="7" t="s">
        <v>110</v>
      </c>
      <c r="B28" s="15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>
        <v>1</v>
      </c>
      <c r="X28" s="8"/>
      <c r="Z28" s="8">
        <v>0.7</v>
      </c>
      <c r="AA28" s="9">
        <f t="shared" si="2"/>
        <v>1</v>
      </c>
      <c r="AB28" s="10">
        <f t="shared" si="3"/>
        <v>0.4285714285714286</v>
      </c>
    </row>
    <row r="29" spans="1:28" ht="12.75" customHeight="1">
      <c r="A29" s="7" t="s">
        <v>95</v>
      </c>
      <c r="B29" s="15" t="s">
        <v>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0.95</v>
      </c>
      <c r="V29" s="8"/>
      <c r="W29" s="8"/>
      <c r="X29" s="8"/>
      <c r="Z29" s="8">
        <v>0.83</v>
      </c>
      <c r="AA29" s="9">
        <f t="shared" si="2"/>
        <v>0.95</v>
      </c>
      <c r="AB29" s="10">
        <f t="shared" si="3"/>
        <v>0.14457831325301207</v>
      </c>
    </row>
    <row r="30" spans="1:28" ht="12.75" customHeight="1">
      <c r="A30" s="7" t="s">
        <v>118</v>
      </c>
      <c r="B30" s="15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1.1000000000000001</v>
      </c>
      <c r="V30" s="8"/>
      <c r="W30" s="8"/>
      <c r="X30" s="8"/>
      <c r="Z30" s="8"/>
      <c r="AA30" s="9">
        <f t="shared" si="2"/>
        <v>1.1000000000000001</v>
      </c>
      <c r="AB30" s="10" t="e">
        <f t="shared" si="3"/>
        <v>#DIV/0!</v>
      </c>
    </row>
    <row r="31" spans="1:28" ht="12.75" customHeight="1">
      <c r="A31" s="7" t="s">
        <v>96</v>
      </c>
      <c r="B31" s="15" t="s">
        <v>26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>
        <v>1.05</v>
      </c>
      <c r="V31" s="8"/>
      <c r="W31" s="8"/>
      <c r="X31" s="8"/>
      <c r="Z31" s="8">
        <v>0.85</v>
      </c>
      <c r="AA31" s="9">
        <f t="shared" si="2"/>
        <v>1.05</v>
      </c>
      <c r="AB31" s="10">
        <f t="shared" si="3"/>
        <v>0.23529411764705888</v>
      </c>
    </row>
    <row r="32" spans="1:28" ht="12.75" customHeight="1">
      <c r="A32" s="7" t="s">
        <v>116</v>
      </c>
      <c r="B32" s="15" t="s">
        <v>26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>
        <v>2.5</v>
      </c>
      <c r="V32" s="8"/>
      <c r="W32" s="8"/>
      <c r="X32" s="8"/>
      <c r="Z32" s="8">
        <v>2.5</v>
      </c>
      <c r="AA32" s="9">
        <f t="shared" si="2"/>
        <v>2.5</v>
      </c>
      <c r="AB32" s="10">
        <f t="shared" si="3"/>
        <v>0</v>
      </c>
    </row>
    <row r="33" spans="1:28" ht="12.75" customHeight="1">
      <c r="A33" s="12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Z33" s="8"/>
      <c r="AA33" s="9"/>
      <c r="AB33" s="10"/>
    </row>
    <row r="34" spans="1:28" ht="14.65" customHeight="1" thickBot="1">
      <c r="A34" s="6" t="s">
        <v>37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Z34" s="6"/>
      <c r="AA34" s="6"/>
      <c r="AB34" s="6"/>
    </row>
    <row r="35" spans="1:28" ht="12.75" customHeight="1">
      <c r="A35" s="7" t="s">
        <v>78</v>
      </c>
      <c r="B35" s="15" t="s">
        <v>26</v>
      </c>
      <c r="C35" s="8">
        <v>4.1500000000000004</v>
      </c>
      <c r="D35" s="8"/>
      <c r="E35" s="8"/>
      <c r="F35" s="8"/>
      <c r="G35" s="8"/>
      <c r="H35" s="8"/>
      <c r="I35" s="8"/>
      <c r="J35" s="8">
        <v>2.5499999999999998</v>
      </c>
      <c r="K35" s="8"/>
      <c r="L35" s="8">
        <v>2.5</v>
      </c>
      <c r="M35" s="8"/>
      <c r="N35" s="8"/>
      <c r="O35" s="8">
        <v>3</v>
      </c>
      <c r="P35" s="8">
        <v>5.5</v>
      </c>
      <c r="Q35" s="8"/>
      <c r="R35" s="8"/>
      <c r="S35" s="8">
        <v>2.5</v>
      </c>
      <c r="T35" s="8"/>
      <c r="U35" s="8">
        <v>2.5</v>
      </c>
      <c r="V35" s="8"/>
      <c r="W35" s="8"/>
      <c r="X35" s="8">
        <v>1.6</v>
      </c>
      <c r="Z35" s="8">
        <v>2.5187500000000003</v>
      </c>
      <c r="AA35" s="9">
        <f>AVERAGE(C35:X35)</f>
        <v>3.0375000000000001</v>
      </c>
      <c r="AB35" s="10">
        <f>AA35/Z35-1</f>
        <v>0.20595533498759289</v>
      </c>
    </row>
    <row r="36" spans="1:28" ht="12.75" customHeight="1">
      <c r="A36" s="13"/>
      <c r="B36" s="1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Z36" s="8"/>
      <c r="AA36" s="9"/>
      <c r="AB36" s="10"/>
    </row>
    <row r="37" spans="1:28" ht="14.65" customHeight="1" thickBot="1">
      <c r="A37" s="6" t="s">
        <v>97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Z37" s="6"/>
      <c r="AA37" s="6"/>
      <c r="AB37" s="6"/>
    </row>
    <row r="38" spans="1:28" ht="12.75" customHeight="1">
      <c r="A38" s="7" t="s">
        <v>42</v>
      </c>
      <c r="B38" s="15" t="s">
        <v>43</v>
      </c>
      <c r="C38" s="8"/>
      <c r="D38" s="8"/>
      <c r="E38" s="8">
        <v>11</v>
      </c>
      <c r="F38" s="8"/>
      <c r="G38" s="8"/>
      <c r="H38" s="8"/>
      <c r="I38" s="8"/>
      <c r="J38" s="8">
        <v>17.3</v>
      </c>
      <c r="K38" s="8">
        <v>19</v>
      </c>
      <c r="L38" s="8"/>
      <c r="M38" s="8"/>
      <c r="N38" s="8">
        <v>11</v>
      </c>
      <c r="O38" s="8"/>
      <c r="P38" s="8"/>
      <c r="Q38" s="8"/>
      <c r="R38" s="8"/>
      <c r="S38" s="8"/>
      <c r="T38" s="8">
        <v>17.5</v>
      </c>
      <c r="U38" s="8"/>
      <c r="V38" s="8"/>
      <c r="W38" s="8"/>
      <c r="X38" s="8">
        <v>17</v>
      </c>
      <c r="Z38" s="8">
        <v>16.033333333333335</v>
      </c>
      <c r="AA38" s="9">
        <f>AVERAGE(C38:X38)</f>
        <v>15.466666666666667</v>
      </c>
      <c r="AB38" s="10">
        <f t="shared" ref="AB38:AB43" si="4">AA38/Z38-1</f>
        <v>-3.5343035343035401E-2</v>
      </c>
    </row>
    <row r="39" spans="1:28" ht="12.75" customHeight="1">
      <c r="A39" s="7" t="s">
        <v>44</v>
      </c>
      <c r="B39" s="15" t="s">
        <v>43</v>
      </c>
      <c r="C39" s="8"/>
      <c r="D39" s="8"/>
      <c r="E39" s="8">
        <v>21</v>
      </c>
      <c r="F39" s="8"/>
      <c r="G39" s="8"/>
      <c r="H39" s="8"/>
      <c r="I39" s="8">
        <v>19.5</v>
      </c>
      <c r="J39" s="8">
        <v>24.5</v>
      </c>
      <c r="K39" s="8">
        <v>24.5</v>
      </c>
      <c r="L39" s="8"/>
      <c r="M39" s="8"/>
      <c r="N39" s="8">
        <v>20</v>
      </c>
      <c r="O39" s="8"/>
      <c r="P39" s="8"/>
      <c r="Q39" s="8"/>
      <c r="R39" s="8"/>
      <c r="S39" s="8">
        <v>22</v>
      </c>
      <c r="T39" s="8">
        <v>22.5</v>
      </c>
      <c r="U39" s="8">
        <v>23</v>
      </c>
      <c r="V39" s="8"/>
      <c r="W39" s="8"/>
      <c r="X39" s="8">
        <v>22.6</v>
      </c>
      <c r="Z39" s="8">
        <v>22.444444444444443</v>
      </c>
      <c r="AA39" s="9">
        <f t="shared" ref="AA39:AA43" si="5">AVERAGE(C39:X39)</f>
        <v>22.177777777777777</v>
      </c>
      <c r="AB39" s="10">
        <f t="shared" si="4"/>
        <v>-1.1881188118811892E-2</v>
      </c>
    </row>
    <row r="40" spans="1:28" ht="12.75" customHeight="1">
      <c r="A40" s="7" t="s">
        <v>46</v>
      </c>
      <c r="B40" s="15" t="s">
        <v>113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>
        <v>3.5</v>
      </c>
      <c r="R40" s="8"/>
      <c r="S40" s="8"/>
      <c r="T40" s="8"/>
      <c r="U40" s="8"/>
      <c r="V40" s="8"/>
      <c r="W40" s="11">
        <v>2.4500000000000002</v>
      </c>
      <c r="X40" s="8"/>
      <c r="Z40" s="11">
        <v>2.9750000000000001</v>
      </c>
      <c r="AA40" s="9">
        <f t="shared" si="5"/>
        <v>2.9750000000000001</v>
      </c>
      <c r="AB40" s="10">
        <f t="shared" si="4"/>
        <v>0</v>
      </c>
    </row>
    <row r="41" spans="1:28" ht="12.75" customHeight="1">
      <c r="A41" s="7" t="s">
        <v>47</v>
      </c>
      <c r="B41" s="15" t="s">
        <v>45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>
        <v>4</v>
      </c>
      <c r="Q41" s="8"/>
      <c r="R41" s="8">
        <v>5.2</v>
      </c>
      <c r="S41" s="8"/>
      <c r="T41" s="8"/>
      <c r="U41" s="8"/>
      <c r="V41" s="8"/>
      <c r="W41" s="8"/>
      <c r="X41" s="8"/>
      <c r="Z41" s="11">
        <v>5.0999999999999996</v>
      </c>
      <c r="AA41" s="9">
        <f t="shared" si="5"/>
        <v>4.5999999999999996</v>
      </c>
      <c r="AB41" s="10">
        <f t="shared" si="4"/>
        <v>-9.8039215686274495E-2</v>
      </c>
    </row>
    <row r="42" spans="1:28" ht="12.75" customHeight="1">
      <c r="A42" s="7" t="s">
        <v>48</v>
      </c>
      <c r="B42" s="15" t="s">
        <v>45</v>
      </c>
      <c r="C42" s="8"/>
      <c r="D42" s="8"/>
      <c r="E42" s="64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Z42" s="11">
        <v>5.5</v>
      </c>
      <c r="AA42" s="9" t="e">
        <f t="shared" si="5"/>
        <v>#DIV/0!</v>
      </c>
      <c r="AB42" s="10" t="e">
        <f t="shared" si="4"/>
        <v>#DIV/0!</v>
      </c>
    </row>
    <row r="43" spans="1:28" ht="12.75" customHeight="1">
      <c r="A43" s="7" t="s">
        <v>49</v>
      </c>
      <c r="B43" s="15" t="s">
        <v>45</v>
      </c>
      <c r="C43" s="11"/>
      <c r="D43" s="63"/>
      <c r="E43" s="66"/>
      <c r="F43" s="65"/>
      <c r="G43" s="8">
        <v>6.5</v>
      </c>
      <c r="H43" s="8">
        <v>5.5</v>
      </c>
      <c r="I43" s="8"/>
      <c r="J43" s="11"/>
      <c r="K43" s="11">
        <v>5.5</v>
      </c>
      <c r="L43" s="11"/>
      <c r="M43" s="11"/>
      <c r="N43" s="11">
        <v>5.5</v>
      </c>
      <c r="O43" s="8"/>
      <c r="P43" s="8"/>
      <c r="Q43" s="8"/>
      <c r="R43" s="8"/>
      <c r="S43" s="8"/>
      <c r="T43" s="8"/>
      <c r="U43" s="8">
        <v>5.77</v>
      </c>
      <c r="V43" s="8"/>
      <c r="W43" s="8"/>
      <c r="X43" s="8"/>
      <c r="Z43" s="11">
        <v>6.21</v>
      </c>
      <c r="AA43" s="9">
        <f t="shared" si="5"/>
        <v>5.7539999999999996</v>
      </c>
      <c r="AB43" s="10">
        <f t="shared" si="4"/>
        <v>-7.3429951690821338E-2</v>
      </c>
    </row>
    <row r="44" spans="1:28" ht="12.75" customHeight="1">
      <c r="A44" s="7"/>
      <c r="B44" s="1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Z44" s="8"/>
      <c r="AA44" s="9"/>
      <c r="AB44" s="10"/>
    </row>
    <row r="45" spans="1:28" ht="14.65" customHeight="1" thickBot="1">
      <c r="A45" s="21" t="s">
        <v>79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Z45" s="6"/>
      <c r="AA45" s="6"/>
      <c r="AB45" s="6"/>
    </row>
    <row r="46" spans="1:28" ht="12.75" customHeight="1">
      <c r="A46" s="7" t="s">
        <v>80</v>
      </c>
      <c r="B46" s="15" t="s">
        <v>50</v>
      </c>
      <c r="C46" s="8"/>
      <c r="D46" s="11">
        <v>600</v>
      </c>
      <c r="E46" s="8"/>
      <c r="F46" s="8"/>
      <c r="G46" s="8"/>
      <c r="H46" s="8">
        <v>385</v>
      </c>
      <c r="I46" s="8">
        <v>420</v>
      </c>
      <c r="J46" s="8">
        <v>490</v>
      </c>
      <c r="K46" s="8">
        <v>320</v>
      </c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>
        <v>400</v>
      </c>
      <c r="Z46" s="8">
        <v>405.75</v>
      </c>
      <c r="AA46" s="9">
        <f>AVERAGE(C46:X46)</f>
        <v>435.83333333333331</v>
      </c>
      <c r="AB46" s="10">
        <f t="shared" ref="AB46:AB63" si="6">AA46/Z46-1</f>
        <v>7.4142534401314464E-2</v>
      </c>
    </row>
    <row r="47" spans="1:28" ht="12.75" customHeight="1">
      <c r="A47" s="34" t="s">
        <v>81</v>
      </c>
      <c r="B47" s="15" t="s">
        <v>50</v>
      </c>
      <c r="C47" s="8">
        <v>65</v>
      </c>
      <c r="D47" s="8">
        <v>29.03</v>
      </c>
      <c r="E47" s="11"/>
      <c r="F47" s="8"/>
      <c r="G47" s="8">
        <v>40</v>
      </c>
      <c r="H47" s="11">
        <v>30</v>
      </c>
      <c r="I47" s="8"/>
      <c r="J47" s="8">
        <v>35.200000000000003</v>
      </c>
      <c r="K47" s="8"/>
      <c r="L47" s="11">
        <v>35</v>
      </c>
      <c r="M47" s="8"/>
      <c r="N47" s="8"/>
      <c r="O47" s="8"/>
      <c r="P47" s="8"/>
      <c r="Q47" s="8"/>
      <c r="R47" s="8"/>
      <c r="S47" s="11"/>
      <c r="T47" s="8"/>
      <c r="U47" s="11">
        <v>69.947826086956525</v>
      </c>
      <c r="V47" s="8"/>
      <c r="W47" s="8"/>
      <c r="X47" s="11">
        <v>32</v>
      </c>
      <c r="Z47" s="8">
        <v>37.47255434782609</v>
      </c>
      <c r="AA47" s="9">
        <f t="shared" ref="AA47:AA60" si="7">AVERAGE(C47:X47)</f>
        <v>42.022228260869568</v>
      </c>
      <c r="AB47" s="10">
        <f t="shared" si="6"/>
        <v>0.12141349828497661</v>
      </c>
    </row>
    <row r="48" spans="1:28" ht="12.75" customHeight="1">
      <c r="A48" s="34" t="s">
        <v>82</v>
      </c>
      <c r="B48" s="15" t="s">
        <v>50</v>
      </c>
      <c r="C48" s="8">
        <v>85</v>
      </c>
      <c r="D48" s="8">
        <v>40</v>
      </c>
      <c r="E48" s="11"/>
      <c r="F48" s="8"/>
      <c r="G48" s="8">
        <v>50</v>
      </c>
      <c r="H48" s="8">
        <v>42.5</v>
      </c>
      <c r="I48" s="8">
        <v>35</v>
      </c>
      <c r="J48" s="8">
        <v>44.1</v>
      </c>
      <c r="K48" s="8">
        <v>45</v>
      </c>
      <c r="L48" s="11">
        <v>40</v>
      </c>
      <c r="M48" s="8"/>
      <c r="N48" s="8"/>
      <c r="O48" s="8"/>
      <c r="P48" s="8"/>
      <c r="Q48" s="8"/>
      <c r="R48" s="8"/>
      <c r="S48" s="11"/>
      <c r="T48" s="8"/>
      <c r="U48" s="11">
        <v>90.721739130434784</v>
      </c>
      <c r="V48" s="8"/>
      <c r="W48" s="8"/>
      <c r="X48" s="8">
        <v>47</v>
      </c>
      <c r="Z48" s="8">
        <v>47.494685990338169</v>
      </c>
      <c r="AA48" s="9">
        <f t="shared" si="7"/>
        <v>51.932173913043485</v>
      </c>
      <c r="AB48" s="10">
        <f t="shared" si="6"/>
        <v>9.3431250890005479E-2</v>
      </c>
    </row>
    <row r="49" spans="1:28" ht="12.75" customHeight="1">
      <c r="A49" s="7" t="s">
        <v>52</v>
      </c>
      <c r="B49" s="15" t="s">
        <v>50</v>
      </c>
      <c r="C49" s="11">
        <v>105</v>
      </c>
      <c r="D49" s="11">
        <v>85</v>
      </c>
      <c r="E49" s="11">
        <v>100</v>
      </c>
      <c r="F49" s="11"/>
      <c r="G49" s="11">
        <v>110</v>
      </c>
      <c r="H49" s="11">
        <v>70</v>
      </c>
      <c r="I49" s="11"/>
      <c r="J49" s="11">
        <v>87.6</v>
      </c>
      <c r="K49" s="11">
        <v>80</v>
      </c>
      <c r="L49" s="11">
        <v>80</v>
      </c>
      <c r="M49" s="11">
        <v>130</v>
      </c>
      <c r="N49" s="11"/>
      <c r="O49" s="11"/>
      <c r="P49" s="11"/>
      <c r="Q49" s="11"/>
      <c r="R49" s="11">
        <v>110</v>
      </c>
      <c r="S49" s="11"/>
      <c r="T49" s="11">
        <v>85</v>
      </c>
      <c r="U49" s="11">
        <v>113.65217391304348</v>
      </c>
      <c r="V49" s="8"/>
      <c r="W49" s="8">
        <v>120</v>
      </c>
      <c r="X49" s="8">
        <v>62</v>
      </c>
      <c r="Z49" s="8">
        <v>95.941994387421673</v>
      </c>
      <c r="AA49" s="9">
        <f t="shared" si="7"/>
        <v>95.589440993788813</v>
      </c>
      <c r="AB49" s="10">
        <f t="shared" si="6"/>
        <v>-3.67465150045998E-3</v>
      </c>
    </row>
    <row r="50" spans="1:28" ht="12.75" customHeight="1">
      <c r="A50" s="7" t="s">
        <v>53</v>
      </c>
      <c r="B50" s="15" t="s">
        <v>50</v>
      </c>
      <c r="C50" s="11">
        <v>125</v>
      </c>
      <c r="D50" s="11">
        <v>120</v>
      </c>
      <c r="E50" s="11">
        <v>117.4</v>
      </c>
      <c r="F50" s="11"/>
      <c r="G50" s="11">
        <v>140</v>
      </c>
      <c r="H50" s="11">
        <v>96</v>
      </c>
      <c r="I50" s="11">
        <v>140</v>
      </c>
      <c r="J50" s="11">
        <v>126.7</v>
      </c>
      <c r="K50" s="11">
        <v>100</v>
      </c>
      <c r="L50" s="11">
        <v>150</v>
      </c>
      <c r="M50" s="11">
        <v>170</v>
      </c>
      <c r="N50" s="11">
        <v>110</v>
      </c>
      <c r="O50" s="11">
        <v>120</v>
      </c>
      <c r="P50" s="11">
        <v>135</v>
      </c>
      <c r="Q50" s="11"/>
      <c r="R50" s="11">
        <v>140</v>
      </c>
      <c r="S50" s="11"/>
      <c r="T50" s="11">
        <v>125</v>
      </c>
      <c r="U50" s="11">
        <v>131.73913043478262</v>
      </c>
      <c r="V50" s="8"/>
      <c r="W50" s="8">
        <v>150</v>
      </c>
      <c r="X50" s="8">
        <v>92</v>
      </c>
      <c r="Z50" s="8">
        <v>129.66188082429375</v>
      </c>
      <c r="AA50" s="9">
        <f t="shared" si="7"/>
        <v>127.15772946859903</v>
      </c>
      <c r="AB50" s="10">
        <f t="shared" si="6"/>
        <v>-1.9312934069559917E-2</v>
      </c>
    </row>
    <row r="51" spans="1:28" ht="12.75" customHeight="1">
      <c r="A51" s="7" t="s">
        <v>54</v>
      </c>
      <c r="B51" s="15" t="s">
        <v>50</v>
      </c>
      <c r="C51" s="11">
        <v>145</v>
      </c>
      <c r="D51" s="11">
        <v>120</v>
      </c>
      <c r="E51" s="11">
        <v>130.4</v>
      </c>
      <c r="F51" s="11">
        <v>150</v>
      </c>
      <c r="G51" s="11">
        <v>180</v>
      </c>
      <c r="H51" s="11">
        <v>145</v>
      </c>
      <c r="I51" s="11">
        <v>145</v>
      </c>
      <c r="J51" s="11">
        <v>160.4</v>
      </c>
      <c r="K51" s="11"/>
      <c r="L51" s="11">
        <v>165</v>
      </c>
      <c r="M51" s="11">
        <v>200</v>
      </c>
      <c r="N51" s="11">
        <v>110</v>
      </c>
      <c r="O51" s="11"/>
      <c r="P51" s="11">
        <v>175</v>
      </c>
      <c r="Q51" s="11"/>
      <c r="R51" s="11">
        <v>145</v>
      </c>
      <c r="S51" s="11"/>
      <c r="T51" s="11">
        <v>165</v>
      </c>
      <c r="U51" s="11">
        <v>152.17391304347828</v>
      </c>
      <c r="V51" s="11"/>
      <c r="W51" s="8">
        <v>180</v>
      </c>
      <c r="X51" s="11">
        <v>105</v>
      </c>
      <c r="Z51" s="8">
        <v>157.20906109445278</v>
      </c>
      <c r="AA51" s="9">
        <f t="shared" si="7"/>
        <v>151.35140664961639</v>
      </c>
      <c r="AB51" s="10">
        <f t="shared" si="6"/>
        <v>-3.7260285151865635E-2</v>
      </c>
    </row>
    <row r="52" spans="1:28" ht="12.75" customHeight="1">
      <c r="A52" s="7" t="s">
        <v>83</v>
      </c>
      <c r="B52" s="15" t="s">
        <v>50</v>
      </c>
      <c r="C52" s="11">
        <v>120</v>
      </c>
      <c r="D52" s="11"/>
      <c r="E52" s="11"/>
      <c r="F52" s="11"/>
      <c r="G52" s="11">
        <v>30</v>
      </c>
      <c r="H52" s="11">
        <v>42.5</v>
      </c>
      <c r="I52" s="11"/>
      <c r="J52" s="11">
        <v>52.9</v>
      </c>
      <c r="K52" s="11">
        <v>32</v>
      </c>
      <c r="L52" s="11"/>
      <c r="M52" s="11"/>
      <c r="N52" s="11"/>
      <c r="O52" s="11"/>
      <c r="P52" s="11"/>
      <c r="Q52" s="11"/>
      <c r="R52" s="11"/>
      <c r="S52" s="11"/>
      <c r="T52" s="11"/>
      <c r="U52" s="11">
        <v>121.38</v>
      </c>
      <c r="V52" s="11"/>
      <c r="W52" s="8"/>
      <c r="X52" s="11">
        <v>40</v>
      </c>
      <c r="Z52" s="8">
        <v>51.42166666666666</v>
      </c>
      <c r="AA52" s="9">
        <f t="shared" si="7"/>
        <v>62.682857142857138</v>
      </c>
      <c r="AB52" s="10">
        <f t="shared" si="6"/>
        <v>0.21899699496691682</v>
      </c>
    </row>
    <row r="53" spans="1:28" ht="12.75" customHeight="1">
      <c r="A53" s="7" t="s">
        <v>90</v>
      </c>
      <c r="B53" s="15" t="s">
        <v>50</v>
      </c>
      <c r="C53" s="11">
        <v>140</v>
      </c>
      <c r="D53" s="11"/>
      <c r="E53" s="11"/>
      <c r="F53" s="11"/>
      <c r="G53" s="11">
        <v>40</v>
      </c>
      <c r="H53" s="11">
        <v>100</v>
      </c>
      <c r="I53" s="11">
        <v>65</v>
      </c>
      <c r="J53" s="11">
        <v>106.2</v>
      </c>
      <c r="K53" s="11">
        <v>117</v>
      </c>
      <c r="L53" s="11"/>
      <c r="M53" s="11"/>
      <c r="N53" s="11">
        <v>130</v>
      </c>
      <c r="O53" s="11"/>
      <c r="P53" s="11"/>
      <c r="Q53" s="11"/>
      <c r="R53" s="11"/>
      <c r="S53" s="11"/>
      <c r="T53" s="11">
        <v>85</v>
      </c>
      <c r="U53" s="11">
        <v>136</v>
      </c>
      <c r="V53" s="11"/>
      <c r="W53" s="11"/>
      <c r="X53" s="11">
        <v>110</v>
      </c>
      <c r="Z53" s="8">
        <v>100.61875000000001</v>
      </c>
      <c r="AA53" s="9">
        <f t="shared" si="7"/>
        <v>102.92</v>
      </c>
      <c r="AB53" s="10">
        <f t="shared" si="6"/>
        <v>2.2870985775514052E-2</v>
      </c>
    </row>
    <row r="54" spans="1:28" ht="12.75" customHeight="1">
      <c r="A54" s="7" t="s">
        <v>55</v>
      </c>
      <c r="B54" s="15" t="s">
        <v>50</v>
      </c>
      <c r="C54" s="11">
        <v>250</v>
      </c>
      <c r="D54" s="11"/>
      <c r="E54" s="11">
        <v>333</v>
      </c>
      <c r="F54" s="11"/>
      <c r="G54" s="11">
        <v>80</v>
      </c>
      <c r="H54" s="11">
        <v>200</v>
      </c>
      <c r="I54" s="11">
        <v>155</v>
      </c>
      <c r="J54" s="11">
        <v>188.1</v>
      </c>
      <c r="K54" s="11">
        <v>200</v>
      </c>
      <c r="L54" s="11">
        <v>200</v>
      </c>
      <c r="M54" s="11">
        <v>220</v>
      </c>
      <c r="N54" s="11">
        <v>270</v>
      </c>
      <c r="O54" s="11"/>
      <c r="P54" s="11"/>
      <c r="Q54" s="11"/>
      <c r="R54" s="11"/>
      <c r="S54" s="11">
        <v>215.2</v>
      </c>
      <c r="T54" s="11">
        <v>180</v>
      </c>
      <c r="U54" s="11">
        <v>182.22</v>
      </c>
      <c r="V54" s="11"/>
      <c r="W54" s="11"/>
      <c r="X54" s="11">
        <v>200</v>
      </c>
      <c r="Z54" s="8">
        <v>204.79083333333332</v>
      </c>
      <c r="AA54" s="9">
        <f t="shared" si="7"/>
        <v>205.25142857142853</v>
      </c>
      <c r="AB54" s="10">
        <f t="shared" si="6"/>
        <v>2.2491008537746104E-3</v>
      </c>
    </row>
    <row r="55" spans="1:28" ht="12.75" customHeight="1">
      <c r="A55" s="7" t="s">
        <v>56</v>
      </c>
      <c r="B55" s="15" t="s">
        <v>50</v>
      </c>
      <c r="C55" s="11">
        <v>320</v>
      </c>
      <c r="D55" s="11"/>
      <c r="E55" s="11">
        <v>466</v>
      </c>
      <c r="F55" s="11"/>
      <c r="G55" s="11">
        <v>120</v>
      </c>
      <c r="H55" s="11">
        <v>255</v>
      </c>
      <c r="I55" s="11">
        <v>220</v>
      </c>
      <c r="J55" s="11">
        <v>292.39999999999998</v>
      </c>
      <c r="K55" s="11">
        <v>295</v>
      </c>
      <c r="L55" s="11">
        <v>250</v>
      </c>
      <c r="M55" s="11">
        <v>250</v>
      </c>
      <c r="N55" s="11">
        <v>330</v>
      </c>
      <c r="O55" s="11"/>
      <c r="P55" s="11"/>
      <c r="Q55" s="11"/>
      <c r="R55" s="11"/>
      <c r="S55" s="11">
        <v>270</v>
      </c>
      <c r="T55" s="11">
        <v>250</v>
      </c>
      <c r="U55" s="11">
        <v>278.7</v>
      </c>
      <c r="V55" s="11"/>
      <c r="W55" s="8"/>
      <c r="X55" s="11">
        <v>240</v>
      </c>
      <c r="Z55" s="8">
        <v>279.71083333333337</v>
      </c>
      <c r="AA55" s="9">
        <f t="shared" si="7"/>
        <v>274.07857142857142</v>
      </c>
      <c r="AB55" s="10">
        <f t="shared" si="6"/>
        <v>-2.0136016319575067E-2</v>
      </c>
    </row>
    <row r="56" spans="1:28" ht="12.75" customHeight="1">
      <c r="A56" s="7" t="s">
        <v>57</v>
      </c>
      <c r="B56" s="15" t="s">
        <v>50</v>
      </c>
      <c r="C56" s="11">
        <v>350</v>
      </c>
      <c r="D56" s="11"/>
      <c r="E56" s="11">
        <v>573</v>
      </c>
      <c r="F56" s="11"/>
      <c r="G56" s="11">
        <v>160</v>
      </c>
      <c r="H56" s="11">
        <v>350</v>
      </c>
      <c r="I56" s="11"/>
      <c r="J56" s="11">
        <v>394.2</v>
      </c>
      <c r="K56" s="11">
        <v>405</v>
      </c>
      <c r="L56" s="11">
        <v>335</v>
      </c>
      <c r="M56" s="11"/>
      <c r="N56" s="11">
        <v>420</v>
      </c>
      <c r="O56" s="11"/>
      <c r="P56" s="11"/>
      <c r="Q56" s="11"/>
      <c r="R56" s="11"/>
      <c r="S56" s="11">
        <v>312.5</v>
      </c>
      <c r="T56" s="11">
        <v>335</v>
      </c>
      <c r="U56" s="11">
        <v>388</v>
      </c>
      <c r="V56" s="11"/>
      <c r="W56" s="8"/>
      <c r="X56" s="11">
        <v>320</v>
      </c>
      <c r="Z56" s="8">
        <v>378.733</v>
      </c>
      <c r="AA56" s="9">
        <f t="shared" si="7"/>
        <v>361.89166666666665</v>
      </c>
      <c r="AB56" s="10">
        <f t="shared" si="6"/>
        <v>-4.4467562460449361E-2</v>
      </c>
    </row>
    <row r="57" spans="1:28" ht="22.5">
      <c r="A57" s="22" t="s">
        <v>111</v>
      </c>
      <c r="B57" s="15" t="s">
        <v>50</v>
      </c>
      <c r="C57" s="11">
        <v>110</v>
      </c>
      <c r="D57" s="11"/>
      <c r="E57" s="11"/>
      <c r="F57" s="11"/>
      <c r="G57" s="11">
        <v>80</v>
      </c>
      <c r="H57" s="11"/>
      <c r="I57" s="11"/>
      <c r="J57" s="11">
        <v>94.25</v>
      </c>
      <c r="K57" s="11">
        <v>85</v>
      </c>
      <c r="L57" s="11"/>
      <c r="M57" s="11"/>
      <c r="N57" s="11"/>
      <c r="O57" s="11"/>
      <c r="P57" s="11"/>
      <c r="Q57" s="11"/>
      <c r="R57" s="11"/>
      <c r="S57" s="11"/>
      <c r="T57" s="11"/>
      <c r="U57" s="11">
        <v>130.86000000000001</v>
      </c>
      <c r="V57" s="11"/>
      <c r="W57" s="8"/>
      <c r="X57" s="11">
        <v>99</v>
      </c>
      <c r="Z57" s="11">
        <v>98.977083333333326</v>
      </c>
      <c r="AA57" s="9">
        <f t="shared" si="7"/>
        <v>99.851666666666674</v>
      </c>
      <c r="AB57" s="10">
        <f t="shared" si="6"/>
        <v>8.8362205055885212E-3</v>
      </c>
    </row>
    <row r="58" spans="1:28" ht="22.5">
      <c r="A58" s="24" t="s">
        <v>86</v>
      </c>
      <c r="B58" s="16" t="s">
        <v>50</v>
      </c>
      <c r="C58" s="11">
        <v>60</v>
      </c>
      <c r="D58" s="11">
        <v>26.1</v>
      </c>
      <c r="E58" s="8"/>
      <c r="F58" s="8"/>
      <c r="G58" s="8">
        <v>70</v>
      </c>
      <c r="H58" s="8"/>
      <c r="I58" s="8"/>
      <c r="J58" s="8">
        <v>65.56</v>
      </c>
      <c r="K58" s="8"/>
      <c r="L58" s="8">
        <v>80</v>
      </c>
      <c r="M58" s="8">
        <v>70</v>
      </c>
      <c r="N58" s="8"/>
      <c r="O58" s="11">
        <v>113.18</v>
      </c>
      <c r="P58" s="11"/>
      <c r="Q58" s="11"/>
      <c r="R58" s="11"/>
      <c r="S58" s="11"/>
      <c r="T58" s="11"/>
      <c r="U58" s="11"/>
      <c r="V58" s="11"/>
      <c r="W58" s="8"/>
      <c r="X58" s="11">
        <v>90</v>
      </c>
      <c r="Z58" s="14">
        <v>67.232985706749318</v>
      </c>
      <c r="AA58" s="9">
        <f t="shared" si="7"/>
        <v>71.85499999999999</v>
      </c>
      <c r="AB58" s="10">
        <f>AA58/Z58-1</f>
        <v>6.8746229914740775E-2</v>
      </c>
    </row>
    <row r="59" spans="1:28" ht="12.75" customHeight="1">
      <c r="A59" s="34" t="s">
        <v>84</v>
      </c>
      <c r="B59" s="15" t="s">
        <v>50</v>
      </c>
      <c r="C59" s="1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1"/>
      <c r="P59" s="11"/>
      <c r="Q59" s="11"/>
      <c r="R59" s="11"/>
      <c r="S59" s="11"/>
      <c r="T59" s="11"/>
      <c r="U59" s="11"/>
      <c r="V59" s="11"/>
      <c r="W59" s="8"/>
      <c r="X59" s="11">
        <v>38</v>
      </c>
      <c r="Z59" s="11">
        <v>38</v>
      </c>
      <c r="AA59" s="9">
        <f t="shared" si="7"/>
        <v>38</v>
      </c>
      <c r="AB59" s="10">
        <f t="shared" si="6"/>
        <v>0</v>
      </c>
    </row>
    <row r="60" spans="1:28" ht="12.75" customHeight="1">
      <c r="A60" s="23" t="s">
        <v>85</v>
      </c>
      <c r="B60" s="16" t="s">
        <v>50</v>
      </c>
      <c r="C60" s="11">
        <v>55</v>
      </c>
      <c r="D60" s="8"/>
      <c r="E60" s="8"/>
      <c r="F60" s="8"/>
      <c r="G60" s="8">
        <v>80</v>
      </c>
      <c r="H60" s="8"/>
      <c r="I60" s="8"/>
      <c r="J60" s="8"/>
      <c r="K60" s="8"/>
      <c r="L60" s="8"/>
      <c r="M60" s="8"/>
      <c r="N60" s="8"/>
      <c r="O60" s="11"/>
      <c r="P60" s="11"/>
      <c r="Q60" s="11"/>
      <c r="R60" s="11"/>
      <c r="S60" s="11"/>
      <c r="T60" s="11"/>
      <c r="U60" s="11"/>
      <c r="V60" s="11"/>
      <c r="W60" s="8"/>
      <c r="X60" s="11">
        <v>100</v>
      </c>
      <c r="Z60" s="11">
        <v>72.5</v>
      </c>
      <c r="AA60" s="9">
        <f t="shared" si="7"/>
        <v>78.333333333333329</v>
      </c>
      <c r="AB60" s="10">
        <f t="shared" si="6"/>
        <v>8.0459770114942541E-2</v>
      </c>
    </row>
    <row r="61" spans="1:28" ht="12.75" customHeight="1">
      <c r="A61" s="7" t="s">
        <v>98</v>
      </c>
      <c r="B61" s="16" t="s">
        <v>50</v>
      </c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Z61" s="11">
        <v>203.05501666666663</v>
      </c>
      <c r="AA61" s="8">
        <f>AVERAGE(AA52:AA56)</f>
        <v>201.36490476190474</v>
      </c>
      <c r="AB61" s="10">
        <f t="shared" si="6"/>
        <v>-8.323418610909572E-3</v>
      </c>
    </row>
    <row r="62" spans="1:28" ht="12.75" customHeight="1">
      <c r="A62" s="7" t="s">
        <v>99</v>
      </c>
      <c r="B62" s="16" t="s">
        <v>50</v>
      </c>
      <c r="C62" s="68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70"/>
      <c r="Z62" s="11">
        <v>93.556035328866486</v>
      </c>
      <c r="AA62" s="8">
        <f>AVERAGE(AA47:AA51)</f>
        <v>93.610595857183469</v>
      </c>
      <c r="AB62" s="10">
        <f t="shared" si="6"/>
        <v>5.8318555425307395E-4</v>
      </c>
    </row>
    <row r="63" spans="1:28" ht="12.75" customHeight="1">
      <c r="A63" s="59" t="s">
        <v>108</v>
      </c>
      <c r="B63" s="16" t="s">
        <v>50</v>
      </c>
      <c r="C63" s="68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70"/>
      <c r="Z63" s="11">
        <v>74.27</v>
      </c>
      <c r="AA63" s="11">
        <v>72.91</v>
      </c>
      <c r="AB63" s="10">
        <f t="shared" si="6"/>
        <v>-1.8311565908172844E-2</v>
      </c>
    </row>
    <row r="64" spans="1:28" ht="12.75" customHeight="1">
      <c r="A64" s="13"/>
      <c r="B64" s="16"/>
      <c r="C64" s="68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70"/>
      <c r="Z64" s="11"/>
      <c r="AA64" s="8"/>
      <c r="AB64" s="10"/>
    </row>
    <row r="65" spans="1:28" ht="12.75" customHeight="1">
      <c r="A65" s="23"/>
      <c r="B65" s="16"/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7"/>
      <c r="P65" s="27"/>
      <c r="Q65" s="27"/>
      <c r="R65" s="27"/>
      <c r="S65" s="27"/>
      <c r="T65" s="27"/>
      <c r="U65" s="27"/>
      <c r="V65" s="27"/>
      <c r="W65" s="28"/>
      <c r="X65" s="27"/>
      <c r="Z65" s="27"/>
      <c r="AA65" s="28"/>
      <c r="AB65" s="29"/>
    </row>
    <row r="66" spans="1:28" ht="12.75" customHeight="1">
      <c r="A66" s="23"/>
      <c r="B66" s="26"/>
      <c r="C66" s="27"/>
      <c r="D66" s="28"/>
      <c r="E66" s="28"/>
      <c r="F66" s="28"/>
      <c r="G66" s="28"/>
      <c r="H66" s="28"/>
      <c r="I66" s="28"/>
      <c r="K66" s="28"/>
      <c r="L66" s="28"/>
      <c r="M66" s="28"/>
      <c r="N66" s="28"/>
      <c r="O66" s="27"/>
      <c r="P66" s="27"/>
      <c r="Q66" s="27"/>
      <c r="R66" s="27"/>
      <c r="S66" s="27"/>
      <c r="T66" s="27"/>
      <c r="U66" s="27"/>
      <c r="V66" s="27"/>
      <c r="W66" s="28"/>
      <c r="X66" s="27"/>
      <c r="Z66" s="27"/>
      <c r="AA66" s="28"/>
      <c r="AB66" s="29"/>
    </row>
    <row r="67" spans="1:28" ht="14.65" customHeight="1" thickBot="1">
      <c r="A67" s="21" t="s">
        <v>87</v>
      </c>
      <c r="B67" s="2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Z67" s="6"/>
      <c r="AA67" s="6"/>
      <c r="AB67" s="6"/>
    </row>
    <row r="68" spans="1:28" ht="12.75" customHeight="1">
      <c r="A68" s="36" t="s">
        <v>88</v>
      </c>
      <c r="B68" s="35" t="s">
        <v>50</v>
      </c>
      <c r="C68" s="8">
        <v>155</v>
      </c>
      <c r="D68" s="11">
        <v>132.5</v>
      </c>
      <c r="E68" s="11">
        <v>136</v>
      </c>
      <c r="F68" s="8"/>
      <c r="G68" s="8">
        <v>110</v>
      </c>
      <c r="H68" s="8">
        <v>87.5</v>
      </c>
      <c r="I68" s="8">
        <v>85</v>
      </c>
      <c r="J68" s="8">
        <v>110.2</v>
      </c>
      <c r="K68" s="8">
        <v>105</v>
      </c>
      <c r="L68" s="8">
        <v>90</v>
      </c>
      <c r="M68" s="8">
        <v>96</v>
      </c>
      <c r="N68" s="8">
        <v>105</v>
      </c>
      <c r="O68" s="8">
        <v>190</v>
      </c>
      <c r="Q68" s="8"/>
      <c r="R68" s="8">
        <v>120</v>
      </c>
      <c r="S68" s="11">
        <v>100</v>
      </c>
      <c r="T68" s="8">
        <v>100</v>
      </c>
      <c r="U68" s="8">
        <v>136.39455782312925</v>
      </c>
      <c r="V68" s="8">
        <v>150</v>
      </c>
      <c r="W68" s="11">
        <v>200</v>
      </c>
      <c r="X68" s="8">
        <v>80</v>
      </c>
      <c r="Z68" s="8">
        <v>116.6766439909297</v>
      </c>
      <c r="AA68" s="9">
        <f>AVERAGE(C68:X68)</f>
        <v>120.45234514858576</v>
      </c>
      <c r="AB68" s="10">
        <f>AA68/Z68-1</f>
        <v>3.2360385322272256E-2</v>
      </c>
    </row>
    <row r="69" spans="1:28" ht="12.75" customHeight="1">
      <c r="A69" s="23" t="s">
        <v>51</v>
      </c>
      <c r="B69" s="35" t="s">
        <v>50</v>
      </c>
      <c r="C69" s="8"/>
      <c r="D69" s="8"/>
      <c r="E69" s="8"/>
      <c r="F69" s="8"/>
      <c r="G69" s="8"/>
      <c r="H69" s="8"/>
      <c r="I69" s="8"/>
      <c r="J69" s="8">
        <v>260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Z69" s="8">
        <v>255</v>
      </c>
      <c r="AA69" s="9">
        <f>AVERAGE(C69:X69)</f>
        <v>260</v>
      </c>
      <c r="AB69" s="10">
        <f>AA69/Z69-1</f>
        <v>1.9607843137254832E-2</v>
      </c>
    </row>
    <row r="70" spans="1:28" ht="12.75" customHeight="1">
      <c r="A70" s="13"/>
      <c r="B70" s="17"/>
      <c r="C70" s="8"/>
      <c r="D70" s="8"/>
      <c r="E70" s="11"/>
      <c r="F70" s="1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Z70" s="8"/>
      <c r="AA70" s="9"/>
      <c r="AB70" s="10"/>
    </row>
    <row r="71" spans="1:28" ht="14.65" customHeight="1" thickBot="1">
      <c r="A71" s="6" t="s">
        <v>89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Z71" s="6"/>
      <c r="AA71" s="6"/>
      <c r="AB71" s="6"/>
    </row>
    <row r="72" spans="1:28" ht="12.75" customHeight="1">
      <c r="A72" s="7" t="s">
        <v>58</v>
      </c>
      <c r="B72" s="15" t="s">
        <v>59</v>
      </c>
      <c r="C72" s="11">
        <v>215</v>
      </c>
      <c r="D72" s="11"/>
      <c r="E72" s="8"/>
      <c r="F72" s="8"/>
      <c r="G72" s="8">
        <v>120</v>
      </c>
      <c r="H72" s="8"/>
      <c r="I72" s="8"/>
      <c r="J72" s="11">
        <v>185</v>
      </c>
      <c r="K72" s="11">
        <v>170</v>
      </c>
      <c r="L72" s="11">
        <v>160</v>
      </c>
      <c r="M72" s="11"/>
      <c r="N72" s="11"/>
      <c r="O72" s="8">
        <v>200</v>
      </c>
      <c r="P72" s="8">
        <v>280</v>
      </c>
      <c r="Q72" s="8"/>
      <c r="R72" s="11"/>
      <c r="S72" s="8"/>
      <c r="T72" s="8"/>
      <c r="U72" s="8">
        <v>227.31</v>
      </c>
      <c r="V72" s="11">
        <v>280</v>
      </c>
      <c r="W72" s="11">
        <v>200</v>
      </c>
      <c r="X72" s="8">
        <v>220</v>
      </c>
      <c r="Z72" s="8">
        <v>191.67181818181822</v>
      </c>
      <c r="AA72" s="9">
        <f>AVERAGE(C72:X72)</f>
        <v>205.21</v>
      </c>
      <c r="AB72" s="10">
        <f>AA72/Z72-1</f>
        <v>7.0632093682857278E-2</v>
      </c>
    </row>
    <row r="73" spans="1:28" ht="12.75" customHeight="1">
      <c r="A73" s="7" t="s">
        <v>60</v>
      </c>
      <c r="B73" s="15" t="s">
        <v>59</v>
      </c>
      <c r="C73" s="11">
        <v>150</v>
      </c>
      <c r="D73" s="11"/>
      <c r="E73" s="11">
        <v>207</v>
      </c>
      <c r="F73" s="8"/>
      <c r="G73" s="8">
        <v>70</v>
      </c>
      <c r="H73" s="8">
        <v>72.5</v>
      </c>
      <c r="I73" s="8">
        <v>190</v>
      </c>
      <c r="J73" s="11">
        <v>124</v>
      </c>
      <c r="K73" s="11">
        <v>120</v>
      </c>
      <c r="L73" s="11">
        <v>95</v>
      </c>
      <c r="M73" s="11">
        <v>180</v>
      </c>
      <c r="N73" s="11"/>
      <c r="O73" s="11"/>
      <c r="P73" s="8"/>
      <c r="Q73" s="8"/>
      <c r="R73" s="11"/>
      <c r="S73" s="8">
        <v>77</v>
      </c>
      <c r="T73" s="8">
        <v>100</v>
      </c>
      <c r="U73" s="8">
        <v>141.04</v>
      </c>
      <c r="V73" s="11"/>
      <c r="W73" s="8">
        <v>150</v>
      </c>
      <c r="X73" s="8">
        <v>110</v>
      </c>
      <c r="Z73" s="8">
        <v>121.22199999999999</v>
      </c>
      <c r="AA73" s="9">
        <f>AVERAGE(C73:X73)</f>
        <v>127.61</v>
      </c>
      <c r="AB73" s="10">
        <f>AA73/Z73-1</f>
        <v>5.2696705218524764E-2</v>
      </c>
    </row>
    <row r="74" spans="1:28" ht="12.75" customHeight="1">
      <c r="A74" s="7" t="s">
        <v>61</v>
      </c>
      <c r="B74" s="15" t="s">
        <v>59</v>
      </c>
      <c r="C74" s="8">
        <v>200</v>
      </c>
      <c r="D74" s="11"/>
      <c r="E74" s="11">
        <v>615</v>
      </c>
      <c r="F74" s="11"/>
      <c r="G74" s="11">
        <v>220</v>
      </c>
      <c r="H74" s="11"/>
      <c r="I74" s="11"/>
      <c r="J74" s="11"/>
      <c r="K74" s="11"/>
      <c r="L74" s="11">
        <v>200</v>
      </c>
      <c r="M74" s="11"/>
      <c r="N74" s="11"/>
      <c r="O74" s="8"/>
      <c r="P74" s="8">
        <v>240</v>
      </c>
      <c r="Q74" s="8"/>
      <c r="R74" s="8"/>
      <c r="S74" s="8"/>
      <c r="T74" s="8"/>
      <c r="U74" s="8"/>
      <c r="V74" s="11"/>
      <c r="W74" s="11">
        <v>400</v>
      </c>
      <c r="X74" s="11"/>
      <c r="Z74" s="8">
        <v>285.28571428571428</v>
      </c>
      <c r="AA74" s="9">
        <f>AVERAGE(C74:X74)</f>
        <v>312.5</v>
      </c>
      <c r="AB74" s="10">
        <f>AA74/Z74-1</f>
        <v>9.53930896344517E-2</v>
      </c>
    </row>
    <row r="75" spans="1:28"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</row>
  </sheetData>
  <sheetProtection selectLockedCells="1" selectUnlockedCells="1"/>
  <mergeCells count="7">
    <mergeCell ref="C64:X64"/>
    <mergeCell ref="A2:AB2"/>
    <mergeCell ref="A3:AB3"/>
    <mergeCell ref="A4:B4"/>
    <mergeCell ref="C61:X61"/>
    <mergeCell ref="C62:X62"/>
    <mergeCell ref="C63:X63"/>
  </mergeCells>
  <pageMargins left="0.39370078740157483" right="0.19685039370078741" top="0.23622047244094491" bottom="0.31496062992125984" header="0.19685039370078741" footer="0.27559055118110237"/>
  <pageSetup paperSize="9" orientation="landscape" useFirstPageNumber="1" horizontalDpi="300" verticalDpi="300" r:id="rId1"/>
  <headerFooter alignWithMargins="0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defaultGridColor="0" colorId="9" zoomScale="90" zoomScaleNormal="90" workbookViewId="0">
      <selection activeCell="A24" sqref="A24:D28"/>
    </sheetView>
  </sheetViews>
  <sheetFormatPr defaultRowHeight="12.75"/>
  <cols>
    <col min="1" max="1" width="42.7109375" style="40" customWidth="1"/>
    <col min="2" max="2" width="13.28515625" style="40" customWidth="1"/>
    <col min="3" max="3" width="19.7109375" style="40" customWidth="1"/>
    <col min="4" max="4" width="22.140625" style="40" customWidth="1"/>
    <col min="5" max="5" width="18.85546875" style="40" customWidth="1"/>
    <col min="6" max="16384" width="9.140625" style="40"/>
  </cols>
  <sheetData>
    <row r="1" spans="1:4" ht="12" customHeight="1"/>
    <row r="2" spans="1:4">
      <c r="A2" s="41" t="s">
        <v>62</v>
      </c>
      <c r="B2" s="41" t="s">
        <v>63</v>
      </c>
      <c r="C2" s="41" t="s">
        <v>64</v>
      </c>
      <c r="D2" s="41" t="s">
        <v>65</v>
      </c>
    </row>
    <row r="3" spans="1:4" ht="13.5" thickBot="1">
      <c r="A3" s="75" t="s">
        <v>66</v>
      </c>
      <c r="B3" s="42">
        <v>1</v>
      </c>
      <c r="C3" s="42">
        <v>0.7</v>
      </c>
      <c r="D3" s="43">
        <v>0.61</v>
      </c>
    </row>
    <row r="4" spans="1:4" ht="14.25" thickTop="1" thickBot="1">
      <c r="A4" s="75"/>
      <c r="B4" s="42">
        <v>1.43</v>
      </c>
      <c r="C4" s="42">
        <v>1</v>
      </c>
      <c r="D4" s="43">
        <v>0.87</v>
      </c>
    </row>
    <row r="5" spans="1:4" ht="14.25" thickTop="1" thickBot="1">
      <c r="A5" s="75"/>
      <c r="B5" s="44">
        <v>1.65</v>
      </c>
      <c r="C5" s="44">
        <v>1.1499999999999999</v>
      </c>
      <c r="D5" s="45">
        <v>1</v>
      </c>
    </row>
    <row r="6" spans="1:4" ht="14.25" thickTop="1" thickBot="1">
      <c r="A6" s="75" t="s">
        <v>67</v>
      </c>
      <c r="B6" s="42">
        <v>1</v>
      </c>
      <c r="C6" s="42">
        <v>0.61</v>
      </c>
      <c r="D6" s="43">
        <v>0.57999999999999996</v>
      </c>
    </row>
    <row r="7" spans="1:4" ht="14.25" thickTop="1" thickBot="1">
      <c r="A7" s="75"/>
      <c r="B7" s="42">
        <v>1.64</v>
      </c>
      <c r="C7" s="42">
        <v>1</v>
      </c>
      <c r="D7" s="43">
        <v>0.95</v>
      </c>
    </row>
    <row r="8" spans="1:4" ht="14.25" thickTop="1" thickBot="1">
      <c r="A8" s="75"/>
      <c r="B8" s="44">
        <v>1.74</v>
      </c>
      <c r="C8" s="44">
        <v>1.06</v>
      </c>
      <c r="D8" s="45">
        <v>1</v>
      </c>
    </row>
    <row r="9" spans="1:4" ht="14.25" thickTop="1" thickBot="1">
      <c r="A9" s="75" t="s">
        <v>68</v>
      </c>
      <c r="B9" s="42">
        <v>1</v>
      </c>
      <c r="C9" s="42">
        <v>0.5</v>
      </c>
      <c r="D9" s="43">
        <v>0.34</v>
      </c>
    </row>
    <row r="10" spans="1:4" ht="14.25" thickTop="1" thickBot="1">
      <c r="A10" s="75"/>
      <c r="B10" s="42">
        <v>2</v>
      </c>
      <c r="C10" s="42">
        <v>1</v>
      </c>
      <c r="D10" s="43">
        <v>0.68</v>
      </c>
    </row>
    <row r="11" spans="1:4" ht="14.25" thickTop="1" thickBot="1">
      <c r="A11" s="75"/>
      <c r="B11" s="44">
        <v>2.94</v>
      </c>
      <c r="C11" s="44">
        <v>1.47</v>
      </c>
      <c r="D11" s="45">
        <v>1</v>
      </c>
    </row>
    <row r="12" spans="1:4" s="47" customFormat="1" ht="28.5" customHeight="1" thickTop="1" thickBot="1">
      <c r="A12" s="46" t="s">
        <v>69</v>
      </c>
      <c r="B12" s="76" t="s">
        <v>70</v>
      </c>
      <c r="C12" s="76"/>
      <c r="D12" s="76"/>
    </row>
    <row r="13" spans="1:4" ht="13.5" thickTop="1">
      <c r="A13" s="48" t="s">
        <v>71</v>
      </c>
    </row>
    <row r="16" spans="1:4">
      <c r="A16" s="77" t="s">
        <v>102</v>
      </c>
      <c r="B16" s="55" t="s">
        <v>105</v>
      </c>
      <c r="C16" s="55" t="s">
        <v>104</v>
      </c>
      <c r="D16" s="55" t="s">
        <v>103</v>
      </c>
    </row>
    <row r="17" spans="1:4">
      <c r="A17" s="78"/>
      <c r="B17" s="56">
        <v>1.39</v>
      </c>
      <c r="C17" s="57">
        <v>1</v>
      </c>
      <c r="D17" s="57">
        <v>1</v>
      </c>
    </row>
    <row r="19" spans="1:4">
      <c r="A19" s="49" t="s">
        <v>72</v>
      </c>
      <c r="B19" s="50" t="s">
        <v>73</v>
      </c>
      <c r="C19" s="50" t="s">
        <v>74</v>
      </c>
      <c r="D19" s="50" t="s">
        <v>75</v>
      </c>
    </row>
    <row r="20" spans="1:4">
      <c r="A20" s="51" t="s">
        <v>76</v>
      </c>
      <c r="B20" s="52">
        <v>415</v>
      </c>
      <c r="C20" s="52">
        <v>356</v>
      </c>
      <c r="D20" s="52">
        <f>AVERAGE(B20:C20)</f>
        <v>385.5</v>
      </c>
    </row>
    <row r="21" spans="1:4">
      <c r="A21" s="53" t="s">
        <v>77</v>
      </c>
      <c r="B21" s="53"/>
      <c r="C21" s="53"/>
      <c r="D21" s="53"/>
    </row>
    <row r="23" spans="1:4">
      <c r="A23" s="58" t="s">
        <v>107</v>
      </c>
      <c r="B23" s="54"/>
      <c r="C23" s="54"/>
      <c r="D23" s="54"/>
    </row>
    <row r="24" spans="1:4">
      <c r="A24" s="73" t="s">
        <v>106</v>
      </c>
      <c r="B24" s="73"/>
      <c r="C24" s="73"/>
      <c r="D24" s="73"/>
    </row>
    <row r="25" spans="1:4">
      <c r="A25" s="73"/>
      <c r="B25" s="73"/>
      <c r="C25" s="73"/>
      <c r="D25" s="73"/>
    </row>
    <row r="26" spans="1:4">
      <c r="A26" s="73"/>
      <c r="B26" s="73"/>
      <c r="C26" s="73"/>
      <c r="D26" s="73"/>
    </row>
    <row r="27" spans="1:4">
      <c r="A27" s="73"/>
      <c r="B27" s="73"/>
      <c r="C27" s="73"/>
      <c r="D27" s="73"/>
    </row>
    <row r="28" spans="1:4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FORMULÁRIO</vt:lpstr>
      <vt:lpstr>Fatores e notas</vt:lpstr>
      <vt:lpstr>FORMULÁRIO!Area_de_impressao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2020-06-24T18:57:09Z</dcterms:created>
  <dcterms:modified xsi:type="dcterms:W3CDTF">2022-12-20T11:43:05Z</dcterms:modified>
</cp:coreProperties>
</file>