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ablosignor\Documents\2023\Florestais\Precos_florestais_2023\2023_novembro\NR_recebidos\"/>
    </mc:Choice>
  </mc:AlternateContent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FORMULÁRIO!$A$1:$AA$72</definedName>
    <definedName name="Excel_BuiltIn__FilterDatabase" localSheetId="0">FORMULÁRIO!#REF!</definedName>
  </definedNames>
  <calcPr calcId="162913"/>
</workbook>
</file>

<file path=xl/calcChain.xml><?xml version="1.0" encoding="utf-8"?>
<calcChain xmlns="http://schemas.openxmlformats.org/spreadsheetml/2006/main">
  <c r="Z29" i="1" l="1"/>
  <c r="Z30" i="1"/>
  <c r="AA61" i="1"/>
  <c r="Z19" i="1"/>
  <c r="AA19" i="1" s="1"/>
  <c r="Z70" i="1"/>
  <c r="Z69" i="1"/>
  <c r="Z66" i="1"/>
  <c r="Z45" i="1"/>
  <c r="Z46" i="1"/>
  <c r="AA46" i="1" s="1"/>
  <c r="Z47" i="1"/>
  <c r="AA47" i="1" s="1"/>
  <c r="Z48" i="1"/>
  <c r="Z49" i="1"/>
  <c r="AA49" i="1" s="1"/>
  <c r="Z50" i="1"/>
  <c r="Z51" i="1"/>
  <c r="AA51" i="1" s="1"/>
  <c r="Z52" i="1"/>
  <c r="Z53" i="1"/>
  <c r="Z54" i="1"/>
  <c r="AA54" i="1" s="1"/>
  <c r="Z55" i="1"/>
  <c r="AA55" i="1" s="1"/>
  <c r="Z56" i="1"/>
  <c r="Z58" i="1"/>
  <c r="Z44" i="1"/>
  <c r="Z37" i="1"/>
  <c r="Z38" i="1"/>
  <c r="Z39" i="1"/>
  <c r="Z41" i="1"/>
  <c r="Z36" i="1"/>
  <c r="Z33" i="1"/>
  <c r="Z27" i="1"/>
  <c r="Z28" i="1"/>
  <c r="AA28" i="1" s="1"/>
  <c r="Z26" i="1"/>
  <c r="Z9" i="1"/>
  <c r="AA9" i="1" s="1"/>
  <c r="Z10" i="1"/>
  <c r="AA10" i="1" s="1"/>
  <c r="Z11" i="1"/>
  <c r="AA11" i="1" s="1"/>
  <c r="Z12" i="1"/>
  <c r="AA12" i="1" s="1"/>
  <c r="Z13" i="1"/>
  <c r="Z14" i="1"/>
  <c r="Z15" i="1"/>
  <c r="AA15" i="1" s="1"/>
  <c r="Z16" i="1"/>
  <c r="AA16" i="1" s="1"/>
  <c r="Z17" i="1"/>
  <c r="Z18" i="1"/>
  <c r="Z20" i="1"/>
  <c r="Z21" i="1"/>
  <c r="Z22" i="1"/>
  <c r="Z23" i="1"/>
  <c r="Z8" i="1"/>
  <c r="D20" i="3"/>
  <c r="AA26" i="1" l="1"/>
  <c r="AA23" i="1"/>
  <c r="AA56" i="1"/>
  <c r="AA38" i="1"/>
  <c r="AA18" i="1"/>
  <c r="AA20" i="1"/>
  <c r="AA33" i="1"/>
  <c r="AA44" i="1"/>
  <c r="AA58" i="1"/>
  <c r="AA70" i="1"/>
  <c r="AA53" i="1"/>
  <c r="Z59" i="1"/>
  <c r="AA59" i="1" s="1"/>
  <c r="AA50" i="1"/>
  <c r="AA13" i="1"/>
  <c r="AA69" i="1"/>
  <c r="AA21" i="1"/>
  <c r="AA39" i="1"/>
  <c r="AA14" i="1"/>
  <c r="AA17" i="1"/>
  <c r="AA27" i="1"/>
  <c r="AA22" i="1"/>
  <c r="AA52" i="1"/>
  <c r="Z60" i="1"/>
  <c r="AA60" i="1" s="1"/>
  <c r="AA37" i="1"/>
  <c r="AA66" i="1"/>
  <c r="AA48" i="1"/>
  <c r="AA45" i="1"/>
  <c r="AA8" i="1"/>
  <c r="AA41" i="1"/>
  <c r="AA36" i="1"/>
</calcChain>
</file>

<file path=xl/sharedStrings.xml><?xml version="1.0" encoding="utf-8"?>
<sst xmlns="http://schemas.openxmlformats.org/spreadsheetml/2006/main" count="157" uniqueCount="114">
  <si>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</si>
  <si>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</si>
  <si>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</si>
  <si>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</si>
  <si>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</si>
  <si>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</si>
  <si>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</si>
  <si>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</si>
  <si>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</si>
  <si>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</si>
  <si>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</si>
  <si>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</si>
  <si>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</si>
  <si>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</si>
  <si>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</si>
  <si>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</si>
  <si>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</si>
  <si>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</si>
  <si>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</si>
  <si>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</si>
  <si>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</si>
  <si>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</si>
  <si>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</si>
  <si>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</si>
  <si>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</si>
  <si>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</si>
  <si>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</si>
  <si>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</si>
  <si>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</si>
  <si>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</si>
  <si>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</si>
  <si>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</si>
  <si>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</si>
  <si>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</si>
  <si>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</si>
  <si>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</si>
  <si>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</si>
  <si>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</si>
  <si>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</si>
  <si>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</si>
  <si>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</si>
  <si>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</si>
  <si>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</si>
  <si>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</si>
  <si>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</si>
  <si>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</si>
  <si>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</si>
  <si>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</si>
  <si>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</si>
  <si>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</si>
  <si>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</si>
  <si>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</si>
  <si>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</si>
  <si>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</si>
  <si>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</si>
  <si>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</si>
  <si>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</si>
  <si>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</si>
  <si>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</si>
  <si>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</si>
  <si>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</si>
  <si>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</si>
  <si>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</si>
  <si>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</si>
  <si>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</si>
  <si>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</si>
  <si>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</si>
  <si>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</si>
  <si>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</si>
  <si>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</si>
  <si>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</si>
  <si>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</si>
  <si>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</si>
  <si>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</si>
  <si>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</si>
  <si>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</si>
  <si>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</si>
  <si>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</si>
  <si>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</si>
  <si>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</si>
  <si>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ÁLAMO EM PÉ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</si>
  <si>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</si>
  <si>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</si>
  <si>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</si>
  <si>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</si>
  <si>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</si>
  <si>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</si>
  <si>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</si>
  <si>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</si>
  <si>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</si>
  <si>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</si>
  <si>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</si>
  <si>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</si>
  <si>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</si>
  <si>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</si>
  <si>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</si>
  <si>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</si>
  <si>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</si>
  <si>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</si>
  <si>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</si>
  <si>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</si>
  <si>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</si>
  <si>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</si>
  <si>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</si>
  <si>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</si>
  <si>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</si>
  <si>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</si>
  <si>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</si>
  <si>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</si>
  <si>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CAVACO LIMPO ONDE FOI PRODUZIDO (cavaco para processo - celulose e papel e painéis recontituídos)</t>
  </si>
  <si>
    <t>Cavacos</t>
  </si>
  <si>
    <t>CAVACO SUJO ONDE FOI PRODUZIDO (cavaco para energia)</t>
  </si>
  <si>
    <t>Referência: novembro de 2023</t>
  </si>
  <si>
    <t>Lenha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</si>
</sst>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Border="1"/>
    <xf numFmtId="2" fontId="2" fillId="0" borderId="0" xfId="0" applyNumberFormat="1" applyFont="1" applyBorder="1"/>
    <xf numFmtId="9" fontId="2" fillId="0" borderId="0" xfId="0" applyNumberFormat="1" applyFont="1" applyBorder="1"/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2"/>
  <sheetViews>
    <sheetView tabSelected="1" defaultGridColor="0" colorId="9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7" width="6" style="1" customWidth="1"/>
    <col min="8" max="13" width="7.5703125" style="1" customWidth="1"/>
    <col min="14" max="17" width="6.5703125" style="1" customWidth="1"/>
    <col min="18" max="18" width="7.140625" style="1" customWidth="1"/>
    <col min="19" max="19" width="6.5703125" style="1" customWidth="1"/>
    <col min="20" max="22" width="7.85546875" style="1" customWidth="1"/>
    <col min="23" max="23" width="7.42578125" style="1" customWidth="1"/>
    <col min="24" max="24" width="3.42578125" customWidth="1"/>
    <col min="25" max="25" width="7.5703125" style="1" customWidth="1"/>
    <col min="26" max="26" width="7.140625" style="1" customWidth="1"/>
    <col min="27" max="27" width="7.140625" style="2" customWidth="1"/>
    <col min="28" max="28" width="3.42578125" customWidth="1"/>
    <col min="29" max="29" width="11" customWidth="1"/>
  </cols>
  <sheetData>
    <row r="1" spans="1:27" s="27" customFormat="1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Y1" s="28"/>
      <c r="Z1" s="28"/>
      <c r="AA1" s="29"/>
    </row>
    <row r="2" spans="1:27" s="27" customFormat="1" x14ac:dyDescent="0.2">
      <c r="A2" s="75" t="s">
        <v>87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s="27" customFormat="1" x14ac:dyDescent="0.2">
      <c r="A3" s="75" t="s">
        <v>86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s="27" customFormat="1" x14ac:dyDescent="0.2">
      <c r="A4" s="76" t="s">
        <v>88</v>
      </c>
      <c r="B4" s="76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Y4" s="28"/>
      <c r="Z4" s="28"/>
      <c r="AA4" s="29"/>
    </row>
    <row r="5" spans="1:27" s="27" customFormat="1" x14ac:dyDescent="0.2">
      <c r="A5" s="30" t="s">
        <v>112</v>
      </c>
      <c r="B5" s="30"/>
      <c r="C5" s="34"/>
      <c r="D5" s="34"/>
      <c r="E5" s="63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63"/>
      <c r="S5" s="34"/>
      <c r="T5" s="63"/>
      <c r="U5" s="34"/>
      <c r="V5" s="63"/>
      <c r="W5" s="63"/>
      <c r="Y5" s="34"/>
      <c r="Z5" s="28"/>
      <c r="AA5" s="29"/>
    </row>
    <row r="6" spans="1:27" ht="91.5" customHeight="1" x14ac:dyDescent="0.2">
      <c r="A6" s="58" t="s">
        <v>0</v>
      </c>
      <c r="B6" s="59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20</v>
      </c>
      <c r="V6" s="3" t="s">
        <v>21</v>
      </c>
      <c r="W6" s="3" t="s">
        <v>22</v>
      </c>
      <c r="Y6" s="57" t="s">
        <v>23</v>
      </c>
      <c r="Z6" s="4" t="s">
        <v>24</v>
      </c>
      <c r="AA6" s="5" t="s">
        <v>25</v>
      </c>
    </row>
    <row r="7" spans="1:27" ht="13.5" thickBot="1" x14ac:dyDescent="0.25">
      <c r="A7" s="36" t="s">
        <v>96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6"/>
      <c r="Z7" s="6"/>
      <c r="AA7" s="6"/>
    </row>
    <row r="8" spans="1:27" ht="12.75" customHeight="1" x14ac:dyDescent="0.2">
      <c r="A8" s="7" t="s">
        <v>89</v>
      </c>
      <c r="B8" s="14" t="s">
        <v>26</v>
      </c>
      <c r="C8" s="8"/>
      <c r="D8" s="8">
        <v>2</v>
      </c>
      <c r="E8" s="8"/>
      <c r="F8" s="8">
        <v>0.7</v>
      </c>
      <c r="G8" s="8"/>
      <c r="H8" s="8"/>
      <c r="I8" s="8"/>
      <c r="J8" s="8"/>
      <c r="K8" s="8">
        <v>0.8</v>
      </c>
      <c r="L8" s="8">
        <v>1.5</v>
      </c>
      <c r="M8" s="8"/>
      <c r="N8" s="8"/>
      <c r="O8" s="8"/>
      <c r="P8" s="8"/>
      <c r="Q8" s="8">
        <v>0.75</v>
      </c>
      <c r="R8" s="8">
        <v>0.7</v>
      </c>
      <c r="S8" s="8"/>
      <c r="T8" s="8">
        <v>1</v>
      </c>
      <c r="U8" s="8"/>
      <c r="V8" s="8">
        <v>1</v>
      </c>
      <c r="W8" s="8"/>
      <c r="Y8" s="8">
        <v>0.8899999999999999</v>
      </c>
      <c r="Z8" s="9">
        <f>AVERAGE(C8:W8)</f>
        <v>1.0562499999999999</v>
      </c>
      <c r="AA8" s="10">
        <f t="shared" ref="AA8:AA18" si="0">Z8/Y8-1</f>
        <v>0.1867977528089888</v>
      </c>
    </row>
    <row r="9" spans="1:27" ht="12.75" customHeight="1" x14ac:dyDescent="0.2">
      <c r="A9" s="7" t="s">
        <v>27</v>
      </c>
      <c r="B9" s="14" t="s">
        <v>26</v>
      </c>
      <c r="C9" s="8"/>
      <c r="D9" s="8"/>
      <c r="E9" s="8"/>
      <c r="F9" s="8">
        <v>0.7</v>
      </c>
      <c r="G9" s="8"/>
      <c r="H9" s="8"/>
      <c r="I9" s="8"/>
      <c r="J9" s="8"/>
      <c r="K9" s="8"/>
      <c r="L9" s="8"/>
      <c r="M9" s="8"/>
      <c r="N9" s="8"/>
      <c r="O9" s="8"/>
      <c r="P9" s="8"/>
      <c r="Q9" s="8">
        <v>0.75</v>
      </c>
      <c r="R9" s="8"/>
      <c r="S9" s="8"/>
      <c r="T9" s="8">
        <v>1</v>
      </c>
      <c r="U9" s="8"/>
      <c r="V9" s="8"/>
      <c r="W9" s="8"/>
      <c r="Y9" s="8">
        <v>0.79333333333333333</v>
      </c>
      <c r="Z9" s="9">
        <f t="shared" ref="Z9:Z23" si="1">AVERAGE(C9:W9)</f>
        <v>0.81666666666666676</v>
      </c>
      <c r="AA9" s="10">
        <f t="shared" si="0"/>
        <v>2.941176470588247E-2</v>
      </c>
    </row>
    <row r="10" spans="1:27" ht="12.75" customHeight="1" x14ac:dyDescent="0.2">
      <c r="A10" s="7" t="s">
        <v>28</v>
      </c>
      <c r="B10" s="14" t="s">
        <v>26</v>
      </c>
      <c r="C10" s="8"/>
      <c r="D10" s="8">
        <v>2</v>
      </c>
      <c r="E10" s="8"/>
      <c r="F10" s="8">
        <v>0.7</v>
      </c>
      <c r="G10" s="8">
        <v>0.71750000000000003</v>
      </c>
      <c r="H10" s="8"/>
      <c r="I10" s="8">
        <v>0.72</v>
      </c>
      <c r="J10" s="8">
        <v>0.78</v>
      </c>
      <c r="K10" s="8"/>
      <c r="L10" s="8">
        <v>1.3</v>
      </c>
      <c r="M10" s="8"/>
      <c r="N10" s="8"/>
      <c r="O10" s="8"/>
      <c r="P10" s="8"/>
      <c r="Q10" s="8">
        <v>0.75</v>
      </c>
      <c r="R10" s="8">
        <v>0.7</v>
      </c>
      <c r="S10" s="8"/>
      <c r="T10" s="8">
        <v>0.93</v>
      </c>
      <c r="U10" s="8">
        <v>1</v>
      </c>
      <c r="V10" s="8"/>
      <c r="W10" s="8">
        <v>0.8</v>
      </c>
      <c r="Y10" s="8">
        <v>0.82727272727272727</v>
      </c>
      <c r="Z10" s="9">
        <f t="shared" si="1"/>
        <v>0.9452272727272728</v>
      </c>
      <c r="AA10" s="10">
        <f t="shared" si="0"/>
        <v>0.14258241758241774</v>
      </c>
    </row>
    <row r="11" spans="1:27" ht="12.75" customHeight="1" x14ac:dyDescent="0.2">
      <c r="A11" s="7" t="s">
        <v>29</v>
      </c>
      <c r="B11" s="14" t="s">
        <v>26</v>
      </c>
      <c r="C11" s="8"/>
      <c r="D11" s="8"/>
      <c r="E11" s="8"/>
      <c r="F11" s="8">
        <v>0.8</v>
      </c>
      <c r="G11" s="8">
        <v>0.73</v>
      </c>
      <c r="H11" s="8"/>
      <c r="I11" s="8"/>
      <c r="J11" s="8"/>
      <c r="K11" s="8">
        <v>0.8</v>
      </c>
      <c r="L11" s="8">
        <v>1.3</v>
      </c>
      <c r="M11" s="8"/>
      <c r="N11" s="8">
        <v>1.4</v>
      </c>
      <c r="O11" s="8"/>
      <c r="P11" s="8"/>
      <c r="Q11" s="8">
        <v>0.75</v>
      </c>
      <c r="R11" s="8">
        <v>0.7</v>
      </c>
      <c r="S11" s="8"/>
      <c r="T11" s="8">
        <v>0.93</v>
      </c>
      <c r="U11" s="8"/>
      <c r="V11" s="8">
        <v>1</v>
      </c>
      <c r="W11" s="8">
        <v>0.8</v>
      </c>
      <c r="Y11" s="8">
        <v>0.89666666666666672</v>
      </c>
      <c r="Z11" s="9">
        <f t="shared" si="1"/>
        <v>0.92100000000000004</v>
      </c>
      <c r="AA11" s="10">
        <f t="shared" si="0"/>
        <v>2.7137546468401386E-2</v>
      </c>
    </row>
    <row r="12" spans="1:27" ht="12.75" customHeight="1" x14ac:dyDescent="0.2">
      <c r="A12" s="7" t="s">
        <v>30</v>
      </c>
      <c r="B12" s="14" t="s">
        <v>26</v>
      </c>
      <c r="C12" s="8"/>
      <c r="D12" s="8"/>
      <c r="E12" s="8"/>
      <c r="F12" s="8">
        <v>0.7</v>
      </c>
      <c r="G12" s="8">
        <v>0.7</v>
      </c>
      <c r="H12" s="8"/>
      <c r="I12" s="8"/>
      <c r="J12" s="8"/>
      <c r="K12" s="8"/>
      <c r="L12" s="8">
        <v>1.3</v>
      </c>
      <c r="M12" s="8"/>
      <c r="N12" s="8"/>
      <c r="O12" s="8"/>
      <c r="P12" s="8"/>
      <c r="Q12" s="8"/>
      <c r="R12" s="8"/>
      <c r="S12" s="8"/>
      <c r="T12" s="8">
        <v>0.93</v>
      </c>
      <c r="U12" s="8"/>
      <c r="V12" s="8"/>
      <c r="W12" s="8">
        <v>0</v>
      </c>
      <c r="Y12" s="8">
        <v>0.88249999999999995</v>
      </c>
      <c r="Z12" s="9">
        <f t="shared" si="1"/>
        <v>0.72600000000000009</v>
      </c>
      <c r="AA12" s="10">
        <f t="shared" si="0"/>
        <v>-0.17733711048158629</v>
      </c>
    </row>
    <row r="13" spans="1:27" ht="12.75" customHeight="1" x14ac:dyDescent="0.2">
      <c r="A13" s="7" t="s">
        <v>31</v>
      </c>
      <c r="B13" s="14" t="s">
        <v>26</v>
      </c>
      <c r="C13" s="8"/>
      <c r="D13" s="8"/>
      <c r="E13" s="8"/>
      <c r="F13" s="8"/>
      <c r="G13" s="8"/>
      <c r="H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Y13" s="8"/>
      <c r="Z13" s="9" t="e">
        <f t="shared" si="1"/>
        <v>#DIV/0!</v>
      </c>
      <c r="AA13" s="10" t="e">
        <f t="shared" si="0"/>
        <v>#DIV/0!</v>
      </c>
    </row>
    <row r="14" spans="1:27" ht="12.75" customHeight="1" x14ac:dyDescent="0.2">
      <c r="A14" s="7" t="s">
        <v>32</v>
      </c>
      <c r="B14" s="14" t="s">
        <v>26</v>
      </c>
      <c r="C14" s="8"/>
      <c r="D14" s="8"/>
      <c r="E14" s="8"/>
      <c r="F14" s="8"/>
      <c r="G14" s="8">
        <v>0.76666666666666661</v>
      </c>
      <c r="H14" s="8"/>
      <c r="I14" s="8">
        <v>0.77</v>
      </c>
      <c r="J14" s="8"/>
      <c r="K14" s="8"/>
      <c r="L14" s="8">
        <v>1.2</v>
      </c>
      <c r="M14" s="8"/>
      <c r="N14" s="8"/>
      <c r="O14" s="8"/>
      <c r="P14" s="8"/>
      <c r="Q14" s="8">
        <v>0.75</v>
      </c>
      <c r="R14" s="8">
        <v>0.7</v>
      </c>
      <c r="S14" s="8"/>
      <c r="T14" s="8">
        <v>1</v>
      </c>
      <c r="U14" s="8"/>
      <c r="V14" s="8"/>
      <c r="W14" s="8">
        <v>0.75</v>
      </c>
      <c r="Y14" s="8">
        <v>0.83285714285714285</v>
      </c>
      <c r="Z14" s="9">
        <f t="shared" si="1"/>
        <v>0.84809523809523812</v>
      </c>
      <c r="AA14" s="10">
        <f t="shared" si="0"/>
        <v>1.8296169239565563E-2</v>
      </c>
    </row>
    <row r="15" spans="1:27" ht="12.75" customHeight="1" x14ac:dyDescent="0.2">
      <c r="A15" s="7" t="s">
        <v>33</v>
      </c>
      <c r="B15" s="14" t="s">
        <v>26</v>
      </c>
      <c r="C15" s="8"/>
      <c r="D15" s="8">
        <v>1.5</v>
      </c>
      <c r="E15" s="8"/>
      <c r="F15" s="8"/>
      <c r="G15" s="8"/>
      <c r="H15" s="8"/>
      <c r="J15" s="8"/>
      <c r="K15" s="8"/>
      <c r="L15" s="8">
        <v>1.3</v>
      </c>
      <c r="M15" s="8"/>
      <c r="N15" s="8"/>
      <c r="O15" s="8"/>
      <c r="P15" s="8"/>
      <c r="Q15" s="8">
        <v>0.75</v>
      </c>
      <c r="R15" s="8"/>
      <c r="S15" s="8"/>
      <c r="T15" s="8">
        <v>1</v>
      </c>
      <c r="U15" s="8"/>
      <c r="V15" s="8">
        <v>1</v>
      </c>
      <c r="W15" s="8"/>
      <c r="Y15" s="11">
        <v>0.90600000000000003</v>
      </c>
      <c r="Z15" s="9">
        <f t="shared" si="1"/>
        <v>1.1099999999999999</v>
      </c>
      <c r="AA15" s="10">
        <f t="shared" si="0"/>
        <v>0.2251655629139071</v>
      </c>
    </row>
    <row r="16" spans="1:27" ht="12.75" customHeight="1" x14ac:dyDescent="0.2">
      <c r="A16" s="7" t="s">
        <v>34</v>
      </c>
      <c r="B16" s="14" t="s">
        <v>26</v>
      </c>
      <c r="C16" s="8"/>
      <c r="D16" s="8"/>
      <c r="E16" s="8"/>
      <c r="F16" s="8">
        <v>0.8</v>
      </c>
      <c r="G16" s="8">
        <v>0.85</v>
      </c>
      <c r="H16" s="8"/>
      <c r="I16" s="8">
        <v>0.87</v>
      </c>
      <c r="J16" s="8">
        <v>0.85</v>
      </c>
      <c r="K16" s="8">
        <v>0.8</v>
      </c>
      <c r="L16" s="8">
        <v>1.2</v>
      </c>
      <c r="M16" s="8"/>
      <c r="N16" s="8"/>
      <c r="O16" s="8"/>
      <c r="P16" s="8"/>
      <c r="Q16" s="8"/>
      <c r="R16" s="8">
        <v>1</v>
      </c>
      <c r="S16" s="8"/>
      <c r="T16" s="8">
        <v>0.95</v>
      </c>
      <c r="U16" s="8"/>
      <c r="V16" s="8"/>
      <c r="W16" s="8">
        <v>0.8</v>
      </c>
      <c r="Y16" s="8">
        <v>0.89500000000000002</v>
      </c>
      <c r="Z16" s="9">
        <f t="shared" si="1"/>
        <v>0.90222222222222237</v>
      </c>
      <c r="AA16" s="10">
        <f t="shared" si="0"/>
        <v>8.0695220360025299E-3</v>
      </c>
    </row>
    <row r="17" spans="1:27" ht="12.75" customHeight="1" x14ac:dyDescent="0.2">
      <c r="A17" s="7" t="s">
        <v>35</v>
      </c>
      <c r="B17" s="14" t="s">
        <v>26</v>
      </c>
      <c r="C17" s="8"/>
      <c r="D17" s="8"/>
      <c r="E17" s="8"/>
      <c r="F17" s="8"/>
      <c r="G17" s="8">
        <v>0.84500000000000008</v>
      </c>
      <c r="H17" s="11"/>
      <c r="I17" s="8">
        <v>0.88</v>
      </c>
      <c r="J17" s="8">
        <v>0.91</v>
      </c>
      <c r="K17" s="8">
        <v>0.9</v>
      </c>
      <c r="L17" s="8">
        <v>1.05</v>
      </c>
      <c r="M17" s="8"/>
      <c r="N17" s="8"/>
      <c r="O17" s="8"/>
      <c r="P17" s="8"/>
      <c r="Q17" s="8"/>
      <c r="R17" s="8">
        <v>0.88</v>
      </c>
      <c r="S17" s="8"/>
      <c r="T17" s="8">
        <v>0.95</v>
      </c>
      <c r="U17" s="8"/>
      <c r="V17" s="8"/>
      <c r="W17" s="8">
        <v>0.9</v>
      </c>
      <c r="Y17" s="8">
        <v>0.8928571428571429</v>
      </c>
      <c r="Z17" s="9">
        <f t="shared" si="1"/>
        <v>0.91437500000000005</v>
      </c>
      <c r="AA17" s="10">
        <f t="shared" si="0"/>
        <v>2.410000000000001E-2</v>
      </c>
    </row>
    <row r="18" spans="1:27" ht="12.75" customHeight="1" x14ac:dyDescent="0.2">
      <c r="A18" s="7" t="s">
        <v>36</v>
      </c>
      <c r="B18" s="14" t="s">
        <v>26</v>
      </c>
      <c r="C18" s="8"/>
      <c r="D18" s="8"/>
      <c r="E18" s="8"/>
      <c r="F18" s="8">
        <v>0.8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>
        <v>1.1000000000000001</v>
      </c>
      <c r="U18" s="8"/>
      <c r="V18" s="8"/>
      <c r="W18" s="8"/>
      <c r="Y18" s="8">
        <v>0.8</v>
      </c>
      <c r="Z18" s="9">
        <f t="shared" si="1"/>
        <v>0.95000000000000007</v>
      </c>
      <c r="AA18" s="10">
        <f t="shared" si="0"/>
        <v>0.1875</v>
      </c>
    </row>
    <row r="19" spans="1:27" ht="12.75" customHeight="1" x14ac:dyDescent="0.2">
      <c r="A19" s="7" t="s">
        <v>38</v>
      </c>
      <c r="B19" s="14" t="s">
        <v>26</v>
      </c>
      <c r="C19" s="8"/>
      <c r="D19" s="8"/>
      <c r="E19" s="8"/>
      <c r="F19" s="8">
        <v>2.1</v>
      </c>
      <c r="G19" s="8"/>
      <c r="H19" s="8"/>
      <c r="I19" s="8">
        <v>2.1</v>
      </c>
      <c r="J19" s="8"/>
      <c r="K19" s="8"/>
      <c r="L19" s="8"/>
      <c r="M19" s="8"/>
      <c r="N19" s="8"/>
      <c r="O19" s="8"/>
      <c r="P19" s="8"/>
      <c r="Q19" s="8"/>
      <c r="R19" s="8">
        <v>3</v>
      </c>
      <c r="S19" s="8"/>
      <c r="T19" s="8">
        <v>2.5</v>
      </c>
      <c r="U19" s="8"/>
      <c r="V19" s="8"/>
      <c r="W19" s="8">
        <v>2</v>
      </c>
      <c r="Y19" s="8">
        <v>2.2250000000000001</v>
      </c>
      <c r="Z19" s="9">
        <f t="shared" si="1"/>
        <v>2.34</v>
      </c>
      <c r="AA19" s="10">
        <f>Z19/Y19-1</f>
        <v>5.1685393258426915E-2</v>
      </c>
    </row>
    <row r="20" spans="1:27" ht="12.75" customHeight="1" x14ac:dyDescent="0.2">
      <c r="A20" s="7" t="s">
        <v>107</v>
      </c>
      <c r="B20" s="14" t="s">
        <v>26</v>
      </c>
      <c r="C20" s="8"/>
      <c r="D20" s="8"/>
      <c r="E20" s="8"/>
      <c r="F20" s="8"/>
      <c r="G20" s="8"/>
      <c r="H20" s="8"/>
      <c r="I20" s="8">
        <v>1.6</v>
      </c>
      <c r="J20" s="8">
        <v>1.42</v>
      </c>
      <c r="K20" s="8"/>
      <c r="L20" s="8"/>
      <c r="M20" s="8"/>
      <c r="N20" s="8"/>
      <c r="O20" s="8"/>
      <c r="P20" s="8"/>
      <c r="Q20" s="8"/>
      <c r="R20" s="8">
        <v>1.5</v>
      </c>
      <c r="S20" s="8">
        <v>1.6</v>
      </c>
      <c r="T20" s="8">
        <v>1.45</v>
      </c>
      <c r="U20" s="8"/>
      <c r="V20" s="8"/>
      <c r="W20" s="8">
        <v>1.2</v>
      </c>
      <c r="Y20" s="8">
        <v>1.5083333333333331</v>
      </c>
      <c r="Z20" s="9">
        <f t="shared" si="1"/>
        <v>1.4616666666666667</v>
      </c>
      <c r="AA20" s="10">
        <f>Z20/Y20-1</f>
        <v>-3.0939226519336893E-2</v>
      </c>
    </row>
    <row r="21" spans="1:27" ht="12.75" customHeight="1" x14ac:dyDescent="0.2">
      <c r="A21" s="7" t="s">
        <v>39</v>
      </c>
      <c r="B21" s="14" t="s">
        <v>26</v>
      </c>
      <c r="C21" s="8"/>
      <c r="D21" s="8"/>
      <c r="E21" s="8"/>
      <c r="F21" s="8">
        <v>2.7</v>
      </c>
      <c r="G21" s="8"/>
      <c r="H21" s="8"/>
      <c r="I21" s="8"/>
      <c r="J21" s="8"/>
      <c r="K21" s="8">
        <v>5</v>
      </c>
      <c r="L21" s="8"/>
      <c r="M21" s="8"/>
      <c r="N21" s="8">
        <v>5</v>
      </c>
      <c r="O21" s="8">
        <v>6</v>
      </c>
      <c r="P21" s="8"/>
      <c r="Q21" s="8"/>
      <c r="R21" s="8"/>
      <c r="S21" s="8"/>
      <c r="T21" s="8"/>
      <c r="U21" s="8"/>
      <c r="V21" s="8">
        <v>3</v>
      </c>
      <c r="W21" s="8"/>
      <c r="Y21" s="8">
        <v>3.6749999999999998</v>
      </c>
      <c r="Z21" s="9">
        <f t="shared" si="1"/>
        <v>4.34</v>
      </c>
      <c r="AA21" s="10">
        <f>Z21/Y21-1</f>
        <v>0.18095238095238098</v>
      </c>
    </row>
    <row r="22" spans="1:27" ht="12.75" customHeight="1" x14ac:dyDescent="0.2">
      <c r="A22" s="7" t="s">
        <v>40</v>
      </c>
      <c r="B22" s="14" t="s">
        <v>26</v>
      </c>
      <c r="C22" s="8"/>
      <c r="D22" s="8"/>
      <c r="E22" s="8"/>
      <c r="F22" s="8">
        <v>2.6</v>
      </c>
      <c r="G22" s="8"/>
      <c r="H22" s="8"/>
      <c r="I22" s="8"/>
      <c r="J22" s="8"/>
      <c r="K22" s="8">
        <v>4</v>
      </c>
      <c r="L22" s="8"/>
      <c r="M22" s="8"/>
      <c r="N22" s="8">
        <v>5</v>
      </c>
      <c r="O22" s="8">
        <v>7</v>
      </c>
      <c r="P22" s="8">
        <v>1.4</v>
      </c>
      <c r="Q22" s="8"/>
      <c r="R22" s="8"/>
      <c r="S22" s="8"/>
      <c r="T22" s="8"/>
      <c r="U22" s="8"/>
      <c r="V22" s="8">
        <v>3</v>
      </c>
      <c r="W22" s="8"/>
      <c r="Y22" s="8">
        <v>3.4</v>
      </c>
      <c r="Z22" s="9">
        <f t="shared" si="1"/>
        <v>3.8333333333333335</v>
      </c>
      <c r="AA22" s="10">
        <f>Z22/Y22-1</f>
        <v>0.12745098039215685</v>
      </c>
    </row>
    <row r="23" spans="1:27" ht="12.75" customHeight="1" x14ac:dyDescent="0.2">
      <c r="A23" s="7" t="s">
        <v>41</v>
      </c>
      <c r="B23" s="14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>
        <v>3.5</v>
      </c>
      <c r="W23" s="8">
        <v>1.9</v>
      </c>
      <c r="Y23" s="8">
        <v>2.6</v>
      </c>
      <c r="Z23" s="9">
        <f t="shared" si="1"/>
        <v>2.7</v>
      </c>
      <c r="AA23" s="10">
        <f>Z23/Y23-1</f>
        <v>3.8461538461538547E-2</v>
      </c>
    </row>
    <row r="24" spans="1:27" ht="12.75" customHeight="1" x14ac:dyDescent="0.2">
      <c r="A24" s="18"/>
      <c r="B24" s="1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Y24" s="8"/>
      <c r="Z24" s="9"/>
      <c r="AA24" s="10"/>
    </row>
    <row r="25" spans="1:27" ht="12.75" customHeight="1" thickBot="1" x14ac:dyDescent="0.25">
      <c r="A25" s="6" t="s">
        <v>95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Y25" s="6"/>
      <c r="Z25" s="6"/>
      <c r="AA25" s="6"/>
    </row>
    <row r="26" spans="1:27" ht="12.75" customHeight="1" x14ac:dyDescent="0.2">
      <c r="A26" s="7" t="s">
        <v>84</v>
      </c>
      <c r="B26" s="14" t="s">
        <v>26</v>
      </c>
      <c r="C26" s="8"/>
      <c r="D26" s="8"/>
      <c r="E26" s="8">
        <v>1.3</v>
      </c>
      <c r="F26" s="8"/>
      <c r="G26" s="8"/>
      <c r="H26" s="8"/>
      <c r="I26" s="8"/>
      <c r="J26" s="8"/>
      <c r="K26" s="8"/>
      <c r="L26" s="8"/>
      <c r="M26" s="8"/>
      <c r="N26" s="8"/>
      <c r="O26" s="8">
        <v>1.5</v>
      </c>
      <c r="P26" s="8"/>
      <c r="Q26" s="8"/>
      <c r="R26" s="8"/>
      <c r="S26" s="8"/>
      <c r="T26" s="8"/>
      <c r="U26" s="8"/>
      <c r="V26" s="8"/>
      <c r="W26" s="8"/>
      <c r="Y26" s="8">
        <v>1.5</v>
      </c>
      <c r="Z26" s="9">
        <f>AVERAGE(C26:W26)</f>
        <v>1.4</v>
      </c>
      <c r="AA26" s="10">
        <f>Z26/Y26-1</f>
        <v>-6.6666666666666763E-2</v>
      </c>
    </row>
    <row r="27" spans="1:27" ht="12.75" customHeight="1" x14ac:dyDescent="0.2">
      <c r="A27" s="7" t="s">
        <v>106</v>
      </c>
      <c r="B27" s="14" t="s">
        <v>26</v>
      </c>
      <c r="C27" s="8"/>
      <c r="D27" s="8">
        <v>1.1000000000000001</v>
      </c>
      <c r="E27" s="8">
        <v>1.5</v>
      </c>
      <c r="F27" s="8"/>
      <c r="G27" s="8"/>
      <c r="H27" s="8"/>
      <c r="I27" s="8"/>
      <c r="J27" s="8"/>
      <c r="K27" s="8"/>
      <c r="L27" s="8"/>
      <c r="M27" s="8"/>
      <c r="N27" s="8"/>
      <c r="O27" s="8">
        <v>1.5</v>
      </c>
      <c r="P27" s="8"/>
      <c r="Q27" s="8"/>
      <c r="R27" s="8"/>
      <c r="S27" s="8"/>
      <c r="T27" s="8"/>
      <c r="U27" s="8"/>
      <c r="V27" s="8"/>
      <c r="W27" s="8"/>
      <c r="Y27" s="8">
        <v>1.2250000000000001</v>
      </c>
      <c r="Z27" s="9">
        <f t="shared" ref="Z27:Z30" si="2">AVERAGE(C27:W27)</f>
        <v>1.3666666666666665</v>
      </c>
      <c r="AA27" s="10">
        <f t="shared" ref="AA27:AA28" si="3">Z27/Y27-1</f>
        <v>0.11564625850340104</v>
      </c>
    </row>
    <row r="28" spans="1:27" ht="12.75" customHeight="1" x14ac:dyDescent="0.2">
      <c r="A28" s="7" t="s">
        <v>90</v>
      </c>
      <c r="B28" s="14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>
        <v>1.23</v>
      </c>
      <c r="U28" s="8"/>
      <c r="V28" s="8"/>
      <c r="W28" s="8"/>
      <c r="Y28" s="8">
        <v>1.2</v>
      </c>
      <c r="Z28" s="9">
        <f t="shared" si="2"/>
        <v>1.23</v>
      </c>
      <c r="AA28" s="10">
        <f t="shared" si="3"/>
        <v>2.5000000000000133E-2</v>
      </c>
    </row>
    <row r="29" spans="1:27" ht="12.75" customHeight="1" x14ac:dyDescent="0.2">
      <c r="A29" s="7" t="s">
        <v>108</v>
      </c>
      <c r="B29" s="14" t="s">
        <v>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>
        <v>1.25</v>
      </c>
      <c r="U29" s="8"/>
      <c r="V29" s="8"/>
      <c r="W29" s="8"/>
      <c r="Y29" s="8"/>
      <c r="Z29" s="9">
        <f t="shared" si="2"/>
        <v>1.25</v>
      </c>
      <c r="AA29" s="10"/>
    </row>
    <row r="30" spans="1:27" ht="12.75" customHeight="1" x14ac:dyDescent="0.2">
      <c r="A30" s="7" t="s">
        <v>91</v>
      </c>
      <c r="B30" s="14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>
        <v>1.25</v>
      </c>
      <c r="U30" s="8"/>
      <c r="V30" s="8"/>
      <c r="W30" s="8"/>
      <c r="Y30" s="8"/>
      <c r="Z30" s="9">
        <f t="shared" si="2"/>
        <v>1.25</v>
      </c>
      <c r="AA30" s="10"/>
    </row>
    <row r="31" spans="1:27" ht="12.75" customHeight="1" x14ac:dyDescent="0.2">
      <c r="A31" s="12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Y31" s="8"/>
      <c r="Z31" s="9"/>
      <c r="AA31" s="10"/>
    </row>
    <row r="32" spans="1:27" ht="14.65" customHeight="1" thickBot="1" x14ac:dyDescent="0.25">
      <c r="A32" s="6" t="s">
        <v>37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Y32" s="6"/>
      <c r="Z32" s="6"/>
      <c r="AA32" s="6"/>
    </row>
    <row r="33" spans="1:27" ht="12.75" customHeight="1" x14ac:dyDescent="0.2">
      <c r="A33" s="7" t="s">
        <v>74</v>
      </c>
      <c r="B33" s="14" t="s">
        <v>26</v>
      </c>
      <c r="C33" s="8">
        <v>4.1500000000000004</v>
      </c>
      <c r="D33" s="8"/>
      <c r="E33" s="8"/>
      <c r="F33" s="8">
        <v>5</v>
      </c>
      <c r="G33" s="8"/>
      <c r="H33" s="8"/>
      <c r="I33" s="8">
        <v>2.9</v>
      </c>
      <c r="J33" s="8"/>
      <c r="K33" s="8">
        <v>3.5</v>
      </c>
      <c r="L33" s="8"/>
      <c r="M33" s="8"/>
      <c r="N33" s="8">
        <v>5</v>
      </c>
      <c r="O33" s="8">
        <v>5.5</v>
      </c>
      <c r="P33" s="8"/>
      <c r="Q33" s="8"/>
      <c r="R33" s="8">
        <v>3</v>
      </c>
      <c r="S33" s="8"/>
      <c r="T33" s="8">
        <v>2.5</v>
      </c>
      <c r="U33" s="8"/>
      <c r="V33" s="8"/>
      <c r="W33" s="8">
        <v>2</v>
      </c>
      <c r="Y33" s="8">
        <v>3.4388888888888891</v>
      </c>
      <c r="Z33" s="9">
        <f>AVERAGE(C33:W33)</f>
        <v>3.7277777777777774</v>
      </c>
      <c r="AA33" s="10">
        <f>Z33/Y33-1</f>
        <v>8.4006462035540963E-2</v>
      </c>
    </row>
    <row r="34" spans="1:27" ht="12.75" customHeight="1" x14ac:dyDescent="0.2">
      <c r="A34" s="13"/>
      <c r="B34" s="1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Y34" s="8"/>
      <c r="Z34" s="9"/>
      <c r="AA34" s="10"/>
    </row>
    <row r="35" spans="1:27" ht="14.65" customHeight="1" thickBot="1" x14ac:dyDescent="0.25">
      <c r="A35" s="6" t="s">
        <v>92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Y35" s="6"/>
      <c r="Z35" s="6"/>
      <c r="AA35" s="6"/>
    </row>
    <row r="36" spans="1:27" ht="12.75" customHeight="1" x14ac:dyDescent="0.2">
      <c r="A36" s="7" t="s">
        <v>42</v>
      </c>
      <c r="B36" s="14" t="s">
        <v>43</v>
      </c>
      <c r="C36" s="8"/>
      <c r="D36" s="8"/>
      <c r="E36" s="8"/>
      <c r="F36" s="8"/>
      <c r="G36" s="8"/>
      <c r="H36" s="8"/>
      <c r="I36" s="8">
        <v>16.3</v>
      </c>
      <c r="J36" s="8">
        <v>17.25</v>
      </c>
      <c r="K36" s="8"/>
      <c r="L36" s="8"/>
      <c r="M36" s="8">
        <v>11</v>
      </c>
      <c r="N36" s="8"/>
      <c r="O36" s="8"/>
      <c r="P36" s="8"/>
      <c r="Q36" s="8"/>
      <c r="R36" s="8"/>
      <c r="S36" s="8">
        <v>17</v>
      </c>
      <c r="T36" s="8"/>
      <c r="U36" s="8"/>
      <c r="V36" s="8"/>
      <c r="W36" s="8">
        <v>14</v>
      </c>
      <c r="Y36" s="8">
        <v>15.09</v>
      </c>
      <c r="Z36" s="9">
        <f>AVERAGE(C36:W36)</f>
        <v>15.11</v>
      </c>
      <c r="AA36" s="10">
        <f t="shared" ref="AA36:AA41" si="4">Z36/Y36-1</f>
        <v>1.3253810470510441E-3</v>
      </c>
    </row>
    <row r="37" spans="1:27" ht="12.75" customHeight="1" x14ac:dyDescent="0.2">
      <c r="A37" s="7" t="s">
        <v>44</v>
      </c>
      <c r="B37" s="14" t="s">
        <v>43</v>
      </c>
      <c r="C37" s="8"/>
      <c r="D37" s="8"/>
      <c r="E37" s="8"/>
      <c r="F37" s="8"/>
      <c r="G37" s="8"/>
      <c r="H37" s="8">
        <v>19</v>
      </c>
      <c r="I37" s="8">
        <v>23.5</v>
      </c>
      <c r="J37" s="8">
        <v>23.5</v>
      </c>
      <c r="K37" s="8"/>
      <c r="L37" s="8"/>
      <c r="M37" s="8">
        <v>18</v>
      </c>
      <c r="N37" s="8"/>
      <c r="O37" s="8"/>
      <c r="P37" s="8"/>
      <c r="Q37" s="8"/>
      <c r="R37" s="8">
        <v>21</v>
      </c>
      <c r="S37" s="8">
        <v>22</v>
      </c>
      <c r="T37" s="8">
        <v>21</v>
      </c>
      <c r="U37" s="8"/>
      <c r="V37" s="8"/>
      <c r="W37" s="8">
        <v>22.5</v>
      </c>
      <c r="Y37" s="8">
        <v>21.181249999999999</v>
      </c>
      <c r="Z37" s="9">
        <f t="shared" ref="Z37:Z41" si="5">AVERAGE(C37:W37)</f>
        <v>21.3125</v>
      </c>
      <c r="AA37" s="10">
        <f t="shared" si="4"/>
        <v>6.1965181469461061E-3</v>
      </c>
    </row>
    <row r="38" spans="1:27" ht="12.75" customHeight="1" x14ac:dyDescent="0.2">
      <c r="A38" s="7" t="s">
        <v>46</v>
      </c>
      <c r="B38" s="14" t="s">
        <v>105</v>
      </c>
      <c r="C38" s="8"/>
      <c r="D38" s="8"/>
      <c r="E38" s="8"/>
      <c r="F38" s="8">
        <v>3</v>
      </c>
      <c r="G38" s="8"/>
      <c r="H38" s="8"/>
      <c r="I38" s="8"/>
      <c r="J38" s="8"/>
      <c r="K38" s="8"/>
      <c r="L38" s="8"/>
      <c r="M38" s="8"/>
      <c r="N38" s="8"/>
      <c r="O38" s="8"/>
      <c r="P38" s="8">
        <v>3.8</v>
      </c>
      <c r="Q38" s="8"/>
      <c r="R38" s="8"/>
      <c r="S38" s="8"/>
      <c r="T38" s="8"/>
      <c r="U38" s="8"/>
      <c r="V38" s="11">
        <v>6.5</v>
      </c>
      <c r="W38" s="8"/>
      <c r="Y38" s="11">
        <v>4.4333333333333336</v>
      </c>
      <c r="Z38" s="9">
        <f t="shared" si="5"/>
        <v>4.4333333333333336</v>
      </c>
      <c r="AA38" s="10">
        <f t="shared" si="4"/>
        <v>0</v>
      </c>
    </row>
    <row r="39" spans="1:27" ht="12.75" customHeight="1" x14ac:dyDescent="0.2">
      <c r="A39" s="7" t="s">
        <v>47</v>
      </c>
      <c r="B39" s="14" t="s">
        <v>45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>
        <v>2.52</v>
      </c>
      <c r="P39" s="8"/>
      <c r="Q39" s="11">
        <v>2.2999999999999998</v>
      </c>
      <c r="R39" s="8"/>
      <c r="S39" s="8"/>
      <c r="T39" s="8"/>
      <c r="U39" s="8"/>
      <c r="V39" s="8"/>
      <c r="W39" s="8"/>
      <c r="Y39" s="11">
        <v>2.4</v>
      </c>
      <c r="Z39" s="9">
        <f t="shared" si="5"/>
        <v>2.41</v>
      </c>
      <c r="AA39" s="10">
        <f t="shared" si="4"/>
        <v>4.1666666666668739E-3</v>
      </c>
    </row>
    <row r="40" spans="1:27" ht="12.75" customHeight="1" x14ac:dyDescent="0.2">
      <c r="A40" s="7" t="s">
        <v>48</v>
      </c>
      <c r="B40" s="14" t="s">
        <v>45</v>
      </c>
      <c r="C40" s="8"/>
      <c r="D40" s="8"/>
      <c r="E40" s="61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Y40" s="11">
        <v>6.1000000000000005</v>
      </c>
      <c r="Z40" s="9"/>
      <c r="AA40" s="10"/>
    </row>
    <row r="41" spans="1:27" ht="12.75" customHeight="1" x14ac:dyDescent="0.2">
      <c r="A41" s="7" t="s">
        <v>49</v>
      </c>
      <c r="B41" s="14" t="s">
        <v>45</v>
      </c>
      <c r="C41" s="11"/>
      <c r="D41" s="60"/>
      <c r="E41" s="62"/>
      <c r="F41" s="8">
        <v>3.4</v>
      </c>
      <c r="G41" s="8">
        <v>2.75</v>
      </c>
      <c r="H41" s="8"/>
      <c r="I41" s="11"/>
      <c r="J41" s="11">
        <v>3.02</v>
      </c>
      <c r="K41" s="11"/>
      <c r="L41" s="11"/>
      <c r="M41" s="11">
        <v>2.6</v>
      </c>
      <c r="N41" s="8"/>
      <c r="O41" s="8"/>
      <c r="P41" s="8"/>
      <c r="Q41" s="8"/>
      <c r="R41" s="8"/>
      <c r="S41" s="8"/>
      <c r="T41" s="8">
        <v>3.02</v>
      </c>
      <c r="U41" s="8"/>
      <c r="V41" s="8"/>
      <c r="W41" s="8"/>
      <c r="Y41" s="11">
        <v>3.0619999999999998</v>
      </c>
      <c r="Z41" s="9">
        <f t="shared" si="5"/>
        <v>2.9579999999999997</v>
      </c>
      <c r="AA41" s="10">
        <f t="shared" si="4"/>
        <v>-3.3964728935336419E-2</v>
      </c>
    </row>
    <row r="42" spans="1:27" ht="12.75" customHeight="1" x14ac:dyDescent="0.2">
      <c r="A42" s="7"/>
      <c r="B42" s="1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Y42" s="8"/>
      <c r="Z42" s="9"/>
      <c r="AA42" s="10"/>
    </row>
    <row r="43" spans="1:27" ht="14.65" customHeight="1" thickBot="1" x14ac:dyDescent="0.25">
      <c r="A43" s="20" t="s">
        <v>75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Y43" s="6"/>
      <c r="Z43" s="6"/>
      <c r="AA43" s="6"/>
    </row>
    <row r="44" spans="1:27" ht="12.75" customHeight="1" x14ac:dyDescent="0.2">
      <c r="A44" s="7" t="s">
        <v>76</v>
      </c>
      <c r="B44" s="14" t="s">
        <v>50</v>
      </c>
      <c r="C44" s="8"/>
      <c r="D44" s="11"/>
      <c r="E44" s="8"/>
      <c r="F44" s="8"/>
      <c r="G44" s="8">
        <v>395</v>
      </c>
      <c r="H44" s="8">
        <v>420</v>
      </c>
      <c r="I44" s="8">
        <v>460</v>
      </c>
      <c r="J44" s="8">
        <v>400</v>
      </c>
      <c r="K44" s="11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>
        <v>400</v>
      </c>
      <c r="Y44" s="8">
        <v>417</v>
      </c>
      <c r="Z44" s="9">
        <f>AVERAGE(C44:W44)</f>
        <v>415</v>
      </c>
      <c r="AA44" s="10">
        <f t="shared" ref="AA44:AA61" si="6">Z44/Y44-1</f>
        <v>-4.7961630695443347E-3</v>
      </c>
    </row>
    <row r="45" spans="1:27" ht="12.75" customHeight="1" x14ac:dyDescent="0.2">
      <c r="A45" s="31" t="s">
        <v>77</v>
      </c>
      <c r="B45" s="14" t="s">
        <v>50</v>
      </c>
      <c r="C45" s="8">
        <v>70</v>
      </c>
      <c r="D45" s="8">
        <v>80</v>
      </c>
      <c r="E45" s="11"/>
      <c r="F45" s="8">
        <v>40</v>
      </c>
      <c r="G45" s="11">
        <v>40.75</v>
      </c>
      <c r="H45" s="8"/>
      <c r="I45" s="8">
        <v>38.1</v>
      </c>
      <c r="J45" s="8"/>
      <c r="K45" s="11">
        <v>40</v>
      </c>
      <c r="L45" s="8">
        <v>70</v>
      </c>
      <c r="M45" s="8"/>
      <c r="N45" s="8"/>
      <c r="O45" s="8"/>
      <c r="P45" s="8"/>
      <c r="Q45" s="8"/>
      <c r="R45" s="11"/>
      <c r="S45" s="8"/>
      <c r="T45" s="11">
        <v>61.16</v>
      </c>
      <c r="U45" s="8"/>
      <c r="V45" s="8"/>
      <c r="W45" s="11">
        <v>32</v>
      </c>
      <c r="Y45" s="8">
        <v>49.633695652173913</v>
      </c>
      <c r="Z45" s="9">
        <f t="shared" ref="Z45:Z58" si="7">AVERAGE(C45:W45)</f>
        <v>52.445555555555558</v>
      </c>
      <c r="AA45" s="10">
        <f t="shared" si="6"/>
        <v>5.6652237284258833E-2</v>
      </c>
    </row>
    <row r="46" spans="1:27" ht="12.75" customHeight="1" x14ac:dyDescent="0.2">
      <c r="A46" s="31" t="s">
        <v>78</v>
      </c>
      <c r="B46" s="14" t="s">
        <v>50</v>
      </c>
      <c r="C46" s="8">
        <v>78</v>
      </c>
      <c r="D46" s="8">
        <v>90</v>
      </c>
      <c r="E46" s="11"/>
      <c r="F46" s="8">
        <v>52</v>
      </c>
      <c r="G46" s="8">
        <v>49.07</v>
      </c>
      <c r="H46" s="8">
        <v>41</v>
      </c>
      <c r="I46" s="8">
        <v>47.9</v>
      </c>
      <c r="J46" s="8">
        <v>47</v>
      </c>
      <c r="K46" s="11">
        <v>50</v>
      </c>
      <c r="L46" s="8">
        <v>110</v>
      </c>
      <c r="M46" s="8"/>
      <c r="N46" s="8"/>
      <c r="O46" s="8"/>
      <c r="P46" s="8"/>
      <c r="Q46" s="8"/>
      <c r="R46" s="11"/>
      <c r="S46" s="8"/>
      <c r="T46" s="11">
        <v>73.3</v>
      </c>
      <c r="U46" s="8"/>
      <c r="V46" s="8"/>
      <c r="W46" s="8">
        <v>52</v>
      </c>
      <c r="Y46" s="8">
        <v>62.497173913043483</v>
      </c>
      <c r="Z46" s="9">
        <f t="shared" si="7"/>
        <v>62.75181818181818</v>
      </c>
      <c r="AA46" s="10">
        <f t="shared" si="6"/>
        <v>4.0744925383187081E-3</v>
      </c>
    </row>
    <row r="47" spans="1:27" ht="12.75" customHeight="1" x14ac:dyDescent="0.2">
      <c r="A47" s="7" t="s">
        <v>51</v>
      </c>
      <c r="B47" s="14" t="s">
        <v>50</v>
      </c>
      <c r="C47" s="11">
        <v>102</v>
      </c>
      <c r="D47" s="11">
        <v>90</v>
      </c>
      <c r="E47" s="11">
        <v>110</v>
      </c>
      <c r="F47" s="11">
        <v>112</v>
      </c>
      <c r="G47" s="11">
        <v>72.983333333333334</v>
      </c>
      <c r="H47" s="11"/>
      <c r="I47" s="11">
        <v>94.8</v>
      </c>
      <c r="J47" s="11">
        <v>80</v>
      </c>
      <c r="K47" s="11">
        <v>112</v>
      </c>
      <c r="L47" s="11">
        <v>140</v>
      </c>
      <c r="M47" s="11"/>
      <c r="N47" s="11"/>
      <c r="O47" s="11"/>
      <c r="P47" s="11"/>
      <c r="Q47" s="11">
        <v>155</v>
      </c>
      <c r="R47" s="11"/>
      <c r="S47" s="11">
        <v>90</v>
      </c>
      <c r="T47" s="11">
        <v>83.23</v>
      </c>
      <c r="U47" s="8"/>
      <c r="V47" s="8">
        <v>140</v>
      </c>
      <c r="W47" s="8">
        <v>60</v>
      </c>
      <c r="Y47" s="8">
        <v>100.46565217391304</v>
      </c>
      <c r="Z47" s="9">
        <f t="shared" si="7"/>
        <v>103.00095238095238</v>
      </c>
      <c r="AA47" s="10">
        <f t="shared" si="6"/>
        <v>2.5235492451196828E-2</v>
      </c>
    </row>
    <row r="48" spans="1:27" ht="12.75" customHeight="1" x14ac:dyDescent="0.2">
      <c r="A48" s="7" t="s">
        <v>52</v>
      </c>
      <c r="B48" s="14" t="s">
        <v>50</v>
      </c>
      <c r="C48" s="11">
        <v>130</v>
      </c>
      <c r="D48" s="11">
        <v>100</v>
      </c>
      <c r="E48" s="11">
        <v>140</v>
      </c>
      <c r="F48" s="11">
        <v>135</v>
      </c>
      <c r="G48" s="11">
        <v>101.26666666666665</v>
      </c>
      <c r="H48" s="11">
        <v>140</v>
      </c>
      <c r="I48" s="11">
        <v>133.19999999999999</v>
      </c>
      <c r="J48" s="11">
        <v>115</v>
      </c>
      <c r="K48" s="11">
        <v>150</v>
      </c>
      <c r="L48" s="11">
        <v>170</v>
      </c>
      <c r="M48" s="11"/>
      <c r="N48" s="11">
        <v>150</v>
      </c>
      <c r="O48" s="11">
        <v>145</v>
      </c>
      <c r="P48" s="11"/>
      <c r="Q48" s="11">
        <v>185</v>
      </c>
      <c r="R48" s="11"/>
      <c r="S48" s="11">
        <v>130</v>
      </c>
      <c r="T48" s="11">
        <v>109.31</v>
      </c>
      <c r="U48" s="8"/>
      <c r="V48" s="8">
        <v>170</v>
      </c>
      <c r="W48" s="8">
        <v>80</v>
      </c>
      <c r="Y48" s="8">
        <v>132.79972826086959</v>
      </c>
      <c r="Z48" s="9">
        <f t="shared" si="7"/>
        <v>134.33980392156863</v>
      </c>
      <c r="AA48" s="10">
        <f t="shared" si="6"/>
        <v>1.1596979006415875E-2</v>
      </c>
    </row>
    <row r="49" spans="1:27" ht="12.75" customHeight="1" x14ac:dyDescent="0.2">
      <c r="A49" s="7" t="s">
        <v>53</v>
      </c>
      <c r="B49" s="14" t="s">
        <v>50</v>
      </c>
      <c r="C49" s="11">
        <v>157</v>
      </c>
      <c r="D49" s="11">
        <v>110</v>
      </c>
      <c r="E49" s="11"/>
      <c r="F49" s="11">
        <v>180</v>
      </c>
      <c r="G49" s="11">
        <v>126.63333333333333</v>
      </c>
      <c r="H49" s="11">
        <v>150</v>
      </c>
      <c r="I49" s="11">
        <v>167.4</v>
      </c>
      <c r="J49" s="11"/>
      <c r="K49" s="11">
        <v>175</v>
      </c>
      <c r="L49" s="11">
        <v>190</v>
      </c>
      <c r="M49" s="11"/>
      <c r="N49" s="11"/>
      <c r="O49" s="11">
        <v>185</v>
      </c>
      <c r="P49" s="11"/>
      <c r="Q49" s="11">
        <v>215</v>
      </c>
      <c r="R49" s="11"/>
      <c r="S49" s="11">
        <v>170</v>
      </c>
      <c r="T49" s="11">
        <v>134.78</v>
      </c>
      <c r="U49" s="11"/>
      <c r="V49" s="8">
        <v>200</v>
      </c>
      <c r="W49" s="11">
        <v>90</v>
      </c>
      <c r="Y49" s="8">
        <v>161.52220735785951</v>
      </c>
      <c r="Z49" s="9">
        <f t="shared" si="7"/>
        <v>160.77238095238096</v>
      </c>
      <c r="AA49" s="10">
        <f t="shared" si="6"/>
        <v>-4.6422496184520545E-3</v>
      </c>
    </row>
    <row r="50" spans="1:27" ht="12.75" customHeight="1" x14ac:dyDescent="0.2">
      <c r="A50" s="7" t="s">
        <v>79</v>
      </c>
      <c r="B50" s="14" t="s">
        <v>50</v>
      </c>
      <c r="C50" s="11">
        <v>82</v>
      </c>
      <c r="D50" s="11"/>
      <c r="E50" s="11"/>
      <c r="F50" s="11">
        <v>42</v>
      </c>
      <c r="G50" s="11">
        <v>48.27</v>
      </c>
      <c r="H50" s="11"/>
      <c r="I50" s="11">
        <v>53.1</v>
      </c>
      <c r="J50" s="11">
        <v>40</v>
      </c>
      <c r="K50" s="11"/>
      <c r="L50" s="11">
        <v>70</v>
      </c>
      <c r="M50" s="11"/>
      <c r="N50" s="11"/>
      <c r="O50" s="11"/>
      <c r="P50" s="11"/>
      <c r="Q50" s="11"/>
      <c r="R50" s="11">
        <v>40</v>
      </c>
      <c r="S50" s="11"/>
      <c r="T50" s="11">
        <v>85.6</v>
      </c>
      <c r="U50" s="11"/>
      <c r="V50" s="8"/>
      <c r="W50" s="11">
        <v>38</v>
      </c>
      <c r="Y50" s="8">
        <v>56.712499999999999</v>
      </c>
      <c r="Z50" s="9">
        <f t="shared" si="7"/>
        <v>55.441111111111113</v>
      </c>
      <c r="AA50" s="10">
        <f t="shared" si="6"/>
        <v>-2.2418142188915802E-2</v>
      </c>
    </row>
    <row r="51" spans="1:27" ht="12.75" customHeight="1" x14ac:dyDescent="0.2">
      <c r="A51" s="7" t="s">
        <v>85</v>
      </c>
      <c r="B51" s="14" t="s">
        <v>50</v>
      </c>
      <c r="C51" s="11">
        <v>93</v>
      </c>
      <c r="D51" s="11"/>
      <c r="E51" s="11"/>
      <c r="F51" s="11">
        <v>55</v>
      </c>
      <c r="G51" s="11">
        <v>99.86</v>
      </c>
      <c r="H51" s="11">
        <v>70</v>
      </c>
      <c r="I51" s="11">
        <v>105.6</v>
      </c>
      <c r="J51" s="11">
        <v>130</v>
      </c>
      <c r="K51" s="11"/>
      <c r="L51" s="11">
        <v>160</v>
      </c>
      <c r="M51" s="11">
        <v>110</v>
      </c>
      <c r="N51" s="11"/>
      <c r="O51" s="11"/>
      <c r="P51" s="11"/>
      <c r="Q51" s="11"/>
      <c r="R51" s="11">
        <v>68.5</v>
      </c>
      <c r="S51" s="11">
        <v>90</v>
      </c>
      <c r="T51" s="11">
        <v>96.6</v>
      </c>
      <c r="U51" s="11"/>
      <c r="V51" s="11"/>
      <c r="W51" s="11">
        <v>125</v>
      </c>
      <c r="Y51" s="8">
        <v>104.80727272727273</v>
      </c>
      <c r="Z51" s="9">
        <f t="shared" si="7"/>
        <v>100.29666666666667</v>
      </c>
      <c r="AA51" s="10">
        <f t="shared" si="6"/>
        <v>-4.3037147549325749E-2</v>
      </c>
    </row>
    <row r="52" spans="1:27" ht="12.75" customHeight="1" x14ac:dyDescent="0.2">
      <c r="A52" s="7" t="s">
        <v>54</v>
      </c>
      <c r="B52" s="14" t="s">
        <v>50</v>
      </c>
      <c r="C52" s="11">
        <v>115</v>
      </c>
      <c r="D52" s="11"/>
      <c r="E52" s="11"/>
      <c r="F52" s="11">
        <v>115</v>
      </c>
      <c r="G52" s="11">
        <v>183.78375</v>
      </c>
      <c r="H52" s="11">
        <v>172</v>
      </c>
      <c r="I52" s="11">
        <v>183.2</v>
      </c>
      <c r="J52" s="11">
        <v>190</v>
      </c>
      <c r="K52" s="11">
        <v>195</v>
      </c>
      <c r="L52" s="11">
        <v>230</v>
      </c>
      <c r="M52" s="11">
        <v>220</v>
      </c>
      <c r="N52" s="11"/>
      <c r="O52" s="11"/>
      <c r="P52" s="11"/>
      <c r="Q52" s="11"/>
      <c r="R52" s="11">
        <v>170.83333333333334</v>
      </c>
      <c r="S52" s="11">
        <v>190</v>
      </c>
      <c r="T52" s="11">
        <v>157.56</v>
      </c>
      <c r="U52" s="11"/>
      <c r="V52" s="11"/>
      <c r="W52" s="11">
        <v>170</v>
      </c>
      <c r="Y52" s="8">
        <v>177.63333333333335</v>
      </c>
      <c r="Z52" s="9">
        <f t="shared" si="7"/>
        <v>176.33669871794871</v>
      </c>
      <c r="AA52" s="10">
        <f t="shared" si="6"/>
        <v>-7.2995005557401349E-3</v>
      </c>
    </row>
    <row r="53" spans="1:27" ht="12.75" customHeight="1" x14ac:dyDescent="0.2">
      <c r="A53" s="7" t="s">
        <v>55</v>
      </c>
      <c r="B53" s="14" t="s">
        <v>50</v>
      </c>
      <c r="C53" s="11">
        <v>165</v>
      </c>
      <c r="D53" s="11"/>
      <c r="E53" s="11"/>
      <c r="F53" s="11">
        <v>140</v>
      </c>
      <c r="G53" s="11">
        <v>238.37777777777779</v>
      </c>
      <c r="H53" s="11">
        <v>235</v>
      </c>
      <c r="I53" s="11">
        <v>278.39999999999998</v>
      </c>
      <c r="J53" s="11">
        <v>268</v>
      </c>
      <c r="K53" s="11">
        <v>320</v>
      </c>
      <c r="L53" s="11">
        <v>280</v>
      </c>
      <c r="M53" s="11">
        <v>270</v>
      </c>
      <c r="N53" s="11"/>
      <c r="O53" s="11"/>
      <c r="P53" s="11"/>
      <c r="Q53" s="11"/>
      <c r="R53" s="11">
        <v>281</v>
      </c>
      <c r="S53" s="11">
        <v>250</v>
      </c>
      <c r="T53" s="11">
        <v>273</v>
      </c>
      <c r="U53" s="11"/>
      <c r="V53" s="8"/>
      <c r="W53" s="11">
        <v>200</v>
      </c>
      <c r="Y53" s="8">
        <v>239.77833333333334</v>
      </c>
      <c r="Z53" s="9">
        <f t="shared" si="7"/>
        <v>246.05982905982907</v>
      </c>
      <c r="AA53" s="10">
        <f t="shared" si="6"/>
        <v>2.6197094788224184E-2</v>
      </c>
    </row>
    <row r="54" spans="1:27" ht="12.75" customHeight="1" x14ac:dyDescent="0.2">
      <c r="A54" s="7" t="s">
        <v>56</v>
      </c>
      <c r="B54" s="14" t="s">
        <v>50</v>
      </c>
      <c r="C54" s="11">
        <v>202</v>
      </c>
      <c r="D54" s="11"/>
      <c r="E54" s="11"/>
      <c r="F54" s="11">
        <v>185</v>
      </c>
      <c r="G54" s="11">
        <v>399.82222222222219</v>
      </c>
      <c r="H54" s="11"/>
      <c r="I54" s="11">
        <v>369.1</v>
      </c>
      <c r="J54" s="11">
        <v>381</v>
      </c>
      <c r="K54" s="11">
        <v>380</v>
      </c>
      <c r="L54" s="11">
        <v>390</v>
      </c>
      <c r="M54" s="11">
        <v>350</v>
      </c>
      <c r="N54" s="11"/>
      <c r="O54" s="11"/>
      <c r="P54" s="11"/>
      <c r="Q54" s="11"/>
      <c r="R54" s="11">
        <v>363.75</v>
      </c>
      <c r="S54" s="11">
        <v>340</v>
      </c>
      <c r="T54" s="11">
        <v>368.13</v>
      </c>
      <c r="U54" s="11"/>
      <c r="V54" s="8"/>
      <c r="W54" s="11">
        <v>280</v>
      </c>
      <c r="Y54" s="8">
        <v>325.93363636363637</v>
      </c>
      <c r="Z54" s="9">
        <f t="shared" si="7"/>
        <v>334.06685185185188</v>
      </c>
      <c r="AA54" s="10">
        <f t="shared" si="6"/>
        <v>2.4953593556516163E-2</v>
      </c>
    </row>
    <row r="55" spans="1:27" s="27" customFormat="1" ht="22.5" x14ac:dyDescent="0.2">
      <c r="A55" s="69" t="s">
        <v>104</v>
      </c>
      <c r="B55" s="14" t="s">
        <v>50</v>
      </c>
      <c r="C55" s="65">
        <v>90</v>
      </c>
      <c r="D55" s="65"/>
      <c r="E55" s="65"/>
      <c r="F55" s="65">
        <v>84</v>
      </c>
      <c r="G55" s="65">
        <v>84.333333333333329</v>
      </c>
      <c r="H55" s="65"/>
      <c r="I55" s="65">
        <v>95.828333333333347</v>
      </c>
      <c r="J55" s="65">
        <v>90</v>
      </c>
      <c r="K55" s="65"/>
      <c r="L55" s="65"/>
      <c r="M55" s="65"/>
      <c r="N55" s="65"/>
      <c r="O55" s="65"/>
      <c r="P55" s="65"/>
      <c r="Q55" s="65"/>
      <c r="R55" s="65"/>
      <c r="S55" s="65"/>
      <c r="T55" s="65">
        <v>108.63</v>
      </c>
      <c r="U55" s="65"/>
      <c r="V55" s="66"/>
      <c r="W55" s="65">
        <v>90</v>
      </c>
      <c r="Y55" s="65">
        <v>92.268571428571434</v>
      </c>
      <c r="Z55" s="67">
        <f t="shared" si="7"/>
        <v>91.827380952380949</v>
      </c>
      <c r="AA55" s="68">
        <f t="shared" si="6"/>
        <v>-4.7815899754340974E-3</v>
      </c>
    </row>
    <row r="56" spans="1:27" s="27" customFormat="1" ht="22.5" x14ac:dyDescent="0.2">
      <c r="A56" s="70" t="s">
        <v>82</v>
      </c>
      <c r="B56" s="15" t="s">
        <v>50</v>
      </c>
      <c r="C56" s="65">
        <v>120</v>
      </c>
      <c r="D56" s="65">
        <v>70</v>
      </c>
      <c r="E56" s="66"/>
      <c r="F56" s="66">
        <v>73</v>
      </c>
      <c r="G56" s="66">
        <v>71.666666666666671</v>
      </c>
      <c r="H56" s="66"/>
      <c r="I56" s="66">
        <v>73.41</v>
      </c>
      <c r="J56" s="66"/>
      <c r="K56" s="66">
        <v>95</v>
      </c>
      <c r="L56" s="66">
        <v>90</v>
      </c>
      <c r="M56" s="66"/>
      <c r="N56" s="65">
        <v>113.18</v>
      </c>
      <c r="O56" s="65"/>
      <c r="P56" s="65"/>
      <c r="Q56" s="65"/>
      <c r="R56" s="65"/>
      <c r="S56" s="65"/>
      <c r="T56" s="65"/>
      <c r="U56" s="65"/>
      <c r="V56" s="66"/>
      <c r="W56" s="65">
        <v>75</v>
      </c>
      <c r="Y56" s="71">
        <v>85.497142857142862</v>
      </c>
      <c r="Z56" s="67">
        <f t="shared" si="7"/>
        <v>86.806296296296296</v>
      </c>
      <c r="AA56" s="68">
        <f>Z56/Y56-1</f>
        <v>1.5312247817928837E-2</v>
      </c>
    </row>
    <row r="57" spans="1:27" ht="12.75" customHeight="1" x14ac:dyDescent="0.2">
      <c r="A57" s="31" t="s">
        <v>80</v>
      </c>
      <c r="B57" s="14" t="s">
        <v>50</v>
      </c>
      <c r="C57" s="11"/>
      <c r="D57" s="8"/>
      <c r="E57" s="8"/>
      <c r="F57" s="8"/>
      <c r="G57" s="8"/>
      <c r="H57" s="8"/>
      <c r="I57" s="8"/>
      <c r="J57" s="8"/>
      <c r="K57" s="8"/>
      <c r="L57" s="8"/>
      <c r="M57" s="8"/>
      <c r="N57" s="11"/>
      <c r="O57" s="11"/>
      <c r="P57" s="11"/>
      <c r="Q57" s="11"/>
      <c r="R57" s="11"/>
      <c r="S57" s="11"/>
      <c r="T57" s="11"/>
      <c r="U57" s="11"/>
      <c r="V57" s="8"/>
      <c r="W57" s="11"/>
      <c r="Y57" s="11"/>
      <c r="Z57" s="9"/>
      <c r="AA57" s="10"/>
    </row>
    <row r="58" spans="1:27" ht="12.75" customHeight="1" x14ac:dyDescent="0.2">
      <c r="A58" s="21" t="s">
        <v>81</v>
      </c>
      <c r="B58" s="15" t="s">
        <v>50</v>
      </c>
      <c r="C58" s="11"/>
      <c r="D58" s="8"/>
      <c r="E58" s="8"/>
      <c r="F58" s="8">
        <v>90</v>
      </c>
      <c r="G58" s="8"/>
      <c r="H58" s="8"/>
      <c r="I58" s="8"/>
      <c r="J58" s="11">
        <v>90</v>
      </c>
      <c r="K58" s="8"/>
      <c r="L58" s="8"/>
      <c r="M58" s="8"/>
      <c r="N58" s="11"/>
      <c r="O58" s="11"/>
      <c r="P58" s="11"/>
      <c r="Q58" s="11"/>
      <c r="R58" s="11"/>
      <c r="S58" s="11"/>
      <c r="T58" s="11"/>
      <c r="U58" s="11"/>
      <c r="V58" s="8"/>
      <c r="W58" s="11">
        <v>120</v>
      </c>
      <c r="Y58" s="11">
        <v>100</v>
      </c>
      <c r="Z58" s="9">
        <f t="shared" si="7"/>
        <v>100</v>
      </c>
      <c r="AA58" s="10">
        <f t="shared" si="6"/>
        <v>0</v>
      </c>
    </row>
    <row r="59" spans="1:27" ht="12.75" customHeight="1" x14ac:dyDescent="0.2">
      <c r="A59" s="7" t="s">
        <v>93</v>
      </c>
      <c r="B59" s="15" t="s">
        <v>50</v>
      </c>
      <c r="C59" s="72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  <c r="Y59" s="11">
        <v>180.97301515151517</v>
      </c>
      <c r="Z59" s="8">
        <f>AVERAGE(Z50:Z54)</f>
        <v>182.44023148148148</v>
      </c>
      <c r="AA59" s="10">
        <f t="shared" si="6"/>
        <v>8.1073762778274272E-3</v>
      </c>
    </row>
    <row r="60" spans="1:27" ht="12.75" customHeight="1" x14ac:dyDescent="0.2">
      <c r="A60" s="7" t="s">
        <v>94</v>
      </c>
      <c r="B60" s="15" t="s">
        <v>50</v>
      </c>
      <c r="C60" s="72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4"/>
      <c r="Y60" s="11">
        <v>101.38369147157191</v>
      </c>
      <c r="Z60" s="8">
        <f>AVERAGE(Z45:Z49)</f>
        <v>102.66210219845516</v>
      </c>
      <c r="AA60" s="10">
        <f t="shared" si="6"/>
        <v>1.260962890902162E-2</v>
      </c>
    </row>
    <row r="61" spans="1:27" ht="12.75" customHeight="1" x14ac:dyDescent="0.2">
      <c r="A61" s="56" t="s">
        <v>103</v>
      </c>
      <c r="B61" s="15" t="s">
        <v>50</v>
      </c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4"/>
      <c r="Y61" s="11">
        <v>71.39</v>
      </c>
      <c r="Z61" s="11">
        <v>70.69</v>
      </c>
      <c r="AA61" s="10">
        <f t="shared" si="6"/>
        <v>-9.8052948592239897E-3</v>
      </c>
    </row>
    <row r="62" spans="1:27" ht="12.75" customHeight="1" x14ac:dyDescent="0.2">
      <c r="A62" s="13"/>
      <c r="B62" s="15"/>
      <c r="C62" s="72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4"/>
      <c r="Y62" s="11"/>
      <c r="Z62" s="8"/>
      <c r="AA62" s="10"/>
    </row>
    <row r="63" spans="1:27" ht="12.75" customHeight="1" x14ac:dyDescent="0.2">
      <c r="A63" s="21"/>
      <c r="B63" s="15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4"/>
      <c r="O63" s="24"/>
      <c r="P63" s="24"/>
      <c r="Q63" s="24"/>
      <c r="R63" s="24"/>
      <c r="S63" s="24"/>
      <c r="T63" s="24"/>
      <c r="U63" s="24"/>
      <c r="V63" s="25"/>
      <c r="W63" s="24"/>
      <c r="Y63" s="24"/>
      <c r="Z63" s="25"/>
      <c r="AA63" s="26"/>
    </row>
    <row r="64" spans="1:27" ht="12.75" customHeight="1" x14ac:dyDescent="0.2">
      <c r="A64" s="21"/>
      <c r="B64" s="23"/>
      <c r="C64" s="24"/>
      <c r="D64" s="25"/>
      <c r="E64" s="25"/>
      <c r="F64" s="25"/>
      <c r="G64" s="25"/>
      <c r="H64" s="25"/>
      <c r="J64" s="25"/>
      <c r="K64" s="25"/>
      <c r="L64" s="25"/>
      <c r="M64" s="25"/>
      <c r="N64" s="24"/>
      <c r="O64" s="24"/>
      <c r="P64" s="24"/>
      <c r="Q64" s="24"/>
      <c r="R64" s="24"/>
      <c r="S64" s="24"/>
      <c r="T64" s="24"/>
      <c r="U64" s="24"/>
      <c r="V64" s="25"/>
      <c r="W64" s="24"/>
      <c r="Y64" s="24"/>
      <c r="Z64" s="25"/>
      <c r="AA64" s="26"/>
    </row>
    <row r="65" spans="1:27" ht="14.65" customHeight="1" thickBot="1" x14ac:dyDescent="0.25">
      <c r="A65" s="20" t="s">
        <v>113</v>
      </c>
      <c r="B65" s="22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Y65" s="6"/>
      <c r="Z65" s="6"/>
      <c r="AA65" s="6"/>
    </row>
    <row r="66" spans="1:27" ht="12.75" customHeight="1" x14ac:dyDescent="0.2">
      <c r="A66" s="33" t="s">
        <v>83</v>
      </c>
      <c r="B66" s="32" t="s">
        <v>50</v>
      </c>
      <c r="C66" s="8">
        <v>150</v>
      </c>
      <c r="D66" s="11">
        <v>220</v>
      </c>
      <c r="E66" s="11">
        <v>160</v>
      </c>
      <c r="F66" s="8">
        <v>113</v>
      </c>
      <c r="G66" s="8">
        <v>116.66666666666667</v>
      </c>
      <c r="H66" s="8"/>
      <c r="I66" s="8">
        <v>121.3</v>
      </c>
      <c r="J66" s="8">
        <v>135</v>
      </c>
      <c r="K66" s="8">
        <v>145</v>
      </c>
      <c r="L66" s="8">
        <v>100</v>
      </c>
      <c r="M66" s="8">
        <v>140</v>
      </c>
      <c r="N66" s="8">
        <v>180</v>
      </c>
      <c r="O66" s="35">
        <v>245</v>
      </c>
      <c r="P66" s="8"/>
      <c r="Q66" s="8">
        <v>130</v>
      </c>
      <c r="R66" s="11">
        <v>126.66666666666667</v>
      </c>
      <c r="S66" s="8"/>
      <c r="T66" s="11">
        <v>128.45578231292518</v>
      </c>
      <c r="U66" s="8">
        <v>170</v>
      </c>
      <c r="V66" s="11">
        <v>250</v>
      </c>
      <c r="W66" s="8">
        <v>90</v>
      </c>
      <c r="Y66" s="8">
        <v>153.59772864701438</v>
      </c>
      <c r="Z66" s="9">
        <f>AVERAGE(C66:W66)</f>
        <v>151.17161753590324</v>
      </c>
      <c r="AA66" s="10">
        <f>Z66/Y66-1</f>
        <v>-1.579522778417275E-2</v>
      </c>
    </row>
    <row r="67" spans="1:27" ht="12.75" customHeight="1" x14ac:dyDescent="0.2">
      <c r="A67" s="13"/>
      <c r="B67" s="16"/>
      <c r="C67" s="8"/>
      <c r="D67" s="8"/>
      <c r="E67" s="11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Y67" s="8"/>
      <c r="Z67" s="9"/>
      <c r="AA67" s="10"/>
    </row>
    <row r="68" spans="1:27" ht="14.65" customHeight="1" thickBot="1" x14ac:dyDescent="0.25">
      <c r="A68" s="6" t="s">
        <v>110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Y68" s="6"/>
      <c r="Z68" s="6"/>
      <c r="AA68" s="6"/>
    </row>
    <row r="69" spans="1:27" s="27" customFormat="1" ht="28.5" customHeight="1" x14ac:dyDescent="0.2">
      <c r="A69" s="64" t="s">
        <v>109</v>
      </c>
      <c r="B69" s="14" t="s">
        <v>57</v>
      </c>
      <c r="C69" s="65">
        <v>226.7</v>
      </c>
      <c r="D69" s="65"/>
      <c r="E69" s="66"/>
      <c r="F69" s="66">
        <v>125</v>
      </c>
      <c r="G69" s="66">
        <v>155</v>
      </c>
      <c r="H69" s="66"/>
      <c r="I69" s="65">
        <v>194.1</v>
      </c>
      <c r="J69" s="65"/>
      <c r="K69" s="65">
        <v>215</v>
      </c>
      <c r="L69" s="65"/>
      <c r="M69" s="65"/>
      <c r="N69" s="66"/>
      <c r="O69" s="65"/>
      <c r="P69" s="66"/>
      <c r="Q69" s="65"/>
      <c r="R69" s="66"/>
      <c r="S69" s="66"/>
      <c r="T69" s="66">
        <v>192.6</v>
      </c>
      <c r="U69" s="65"/>
      <c r="V69" s="65">
        <v>220</v>
      </c>
      <c r="W69" s="66"/>
      <c r="Y69" s="66">
        <v>189.34200000000001</v>
      </c>
      <c r="Z69" s="67">
        <f>AVERAGE(C69:W69)</f>
        <v>189.77142857142854</v>
      </c>
      <c r="AA69" s="68">
        <f>Z69/Y69-1</f>
        <v>2.2680048347885062E-3</v>
      </c>
    </row>
    <row r="70" spans="1:27" ht="15" customHeight="1" x14ac:dyDescent="0.2">
      <c r="A70" s="64" t="s">
        <v>111</v>
      </c>
      <c r="B70" s="14" t="s">
        <v>57</v>
      </c>
      <c r="C70" s="11">
        <v>150</v>
      </c>
      <c r="D70" s="11">
        <v>350</v>
      </c>
      <c r="E70" s="11"/>
      <c r="F70" s="8">
        <v>74</v>
      </c>
      <c r="G70" s="8">
        <v>112.625</v>
      </c>
      <c r="H70" s="8">
        <v>200</v>
      </c>
      <c r="I70" s="11">
        <v>130.4</v>
      </c>
      <c r="J70" s="11">
        <v>142</v>
      </c>
      <c r="K70" s="11">
        <v>150</v>
      </c>
      <c r="L70" s="11">
        <v>180</v>
      </c>
      <c r="M70" s="11"/>
      <c r="N70" s="11">
        <v>300</v>
      </c>
      <c r="O70" s="8">
        <v>350</v>
      </c>
      <c r="P70" s="8"/>
      <c r="Q70" s="11">
        <v>110</v>
      </c>
      <c r="R70" s="8">
        <v>111.67</v>
      </c>
      <c r="S70" s="8">
        <v>140</v>
      </c>
      <c r="T70" s="8">
        <v>126.05</v>
      </c>
      <c r="U70" s="11">
        <v>290</v>
      </c>
      <c r="V70" s="8">
        <v>160</v>
      </c>
      <c r="W70" s="8">
        <v>120</v>
      </c>
      <c r="Y70" s="8">
        <v>165.83453781512605</v>
      </c>
      <c r="Z70" s="9">
        <f>AVERAGE(C70:W70)</f>
        <v>177.59694444444446</v>
      </c>
      <c r="AA70" s="10">
        <f>Z70/Y70-1</f>
        <v>7.0928570033048643E-2</v>
      </c>
    </row>
    <row r="71" spans="1:27" ht="12.75" customHeight="1" x14ac:dyDescent="0.2">
      <c r="A71" s="7"/>
      <c r="B71" s="14"/>
      <c r="C71" s="8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8"/>
      <c r="O71" s="8"/>
      <c r="P71" s="8"/>
      <c r="Q71" s="8"/>
      <c r="R71" s="8"/>
      <c r="S71" s="8"/>
      <c r="T71" s="8"/>
      <c r="U71" s="11"/>
      <c r="V71" s="11"/>
      <c r="W71" s="11"/>
      <c r="Y71" s="8"/>
      <c r="Z71" s="9"/>
      <c r="AA71" s="10"/>
    </row>
    <row r="72" spans="1:27" x14ac:dyDescent="0.2">
      <c r="D72" s="35"/>
      <c r="E72" s="35"/>
      <c r="F72" s="35"/>
      <c r="G72" s="35"/>
      <c r="H72" s="35"/>
      <c r="I72" s="35"/>
      <c r="J72" s="35"/>
      <c r="K72" s="35"/>
      <c r="L72" s="35"/>
      <c r="M72" s="35"/>
    </row>
  </sheetData>
  <sheetProtection selectLockedCells="1" selectUnlockedCells="1"/>
  <mergeCells count="7">
    <mergeCell ref="C62:W62"/>
    <mergeCell ref="A2:AA2"/>
    <mergeCell ref="A3:AA3"/>
    <mergeCell ref="A4:B4"/>
    <mergeCell ref="C59:W59"/>
    <mergeCell ref="C60:W60"/>
    <mergeCell ref="C61:W61"/>
  </mergeCells>
  <pageMargins left="0.39370078740157483" right="0.19685039370078741" top="0.23622047244094491" bottom="0.31496062992125984" header="0" footer="0"/>
  <pageSetup paperSize="9" scale="85" orientation="landscape" useFirstPageNumber="1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37" customWidth="1"/>
    <col min="2" max="2" width="13.28515625" style="37" customWidth="1"/>
    <col min="3" max="3" width="19.7109375" style="37" customWidth="1"/>
    <col min="4" max="4" width="22.140625" style="37" customWidth="1"/>
    <col min="5" max="5" width="18.85546875" style="37" customWidth="1"/>
    <col min="6" max="16384" width="9.140625" style="37"/>
  </cols>
  <sheetData>
    <row r="1" spans="1:4" ht="12" customHeight="1" x14ac:dyDescent="0.2"/>
    <row r="2" spans="1:4" x14ac:dyDescent="0.2">
      <c r="A2" s="38" t="s">
        <v>58</v>
      </c>
      <c r="B2" s="38" t="s">
        <v>59</v>
      </c>
      <c r="C2" s="38" t="s">
        <v>60</v>
      </c>
      <c r="D2" s="38" t="s">
        <v>61</v>
      </c>
    </row>
    <row r="3" spans="1:4" ht="13.5" thickBot="1" x14ac:dyDescent="0.25">
      <c r="A3" s="79" t="s">
        <v>62</v>
      </c>
      <c r="B3" s="39">
        <v>1</v>
      </c>
      <c r="C3" s="39">
        <v>0.7</v>
      </c>
      <c r="D3" s="40">
        <v>0.61</v>
      </c>
    </row>
    <row r="4" spans="1:4" ht="14.25" thickTop="1" thickBot="1" x14ac:dyDescent="0.25">
      <c r="A4" s="79"/>
      <c r="B4" s="39">
        <v>1.43</v>
      </c>
      <c r="C4" s="39">
        <v>1</v>
      </c>
      <c r="D4" s="40">
        <v>0.87</v>
      </c>
    </row>
    <row r="5" spans="1:4" ht="14.25" thickTop="1" thickBot="1" x14ac:dyDescent="0.25">
      <c r="A5" s="79"/>
      <c r="B5" s="41">
        <v>1.65</v>
      </c>
      <c r="C5" s="41">
        <v>1.1499999999999999</v>
      </c>
      <c r="D5" s="42">
        <v>1</v>
      </c>
    </row>
    <row r="6" spans="1:4" ht="14.25" thickTop="1" thickBot="1" x14ac:dyDescent="0.25">
      <c r="A6" s="79" t="s">
        <v>63</v>
      </c>
      <c r="B6" s="39">
        <v>1</v>
      </c>
      <c r="C6" s="39">
        <v>0.61</v>
      </c>
      <c r="D6" s="40">
        <v>0.57999999999999996</v>
      </c>
    </row>
    <row r="7" spans="1:4" ht="14.25" thickTop="1" thickBot="1" x14ac:dyDescent="0.25">
      <c r="A7" s="79"/>
      <c r="B7" s="39">
        <v>1.64</v>
      </c>
      <c r="C7" s="39">
        <v>1</v>
      </c>
      <c r="D7" s="40">
        <v>0.95</v>
      </c>
    </row>
    <row r="8" spans="1:4" ht="14.25" thickTop="1" thickBot="1" x14ac:dyDescent="0.25">
      <c r="A8" s="79"/>
      <c r="B8" s="41">
        <v>1.74</v>
      </c>
      <c r="C8" s="41">
        <v>1.06</v>
      </c>
      <c r="D8" s="42">
        <v>1</v>
      </c>
    </row>
    <row r="9" spans="1:4" ht="14.25" thickTop="1" thickBot="1" x14ac:dyDescent="0.25">
      <c r="A9" s="79" t="s">
        <v>64</v>
      </c>
      <c r="B9" s="39">
        <v>1</v>
      </c>
      <c r="C9" s="39">
        <v>0.5</v>
      </c>
      <c r="D9" s="40">
        <v>0.34</v>
      </c>
    </row>
    <row r="10" spans="1:4" ht="14.25" thickTop="1" thickBot="1" x14ac:dyDescent="0.25">
      <c r="A10" s="79"/>
      <c r="B10" s="39">
        <v>2</v>
      </c>
      <c r="C10" s="39">
        <v>1</v>
      </c>
      <c r="D10" s="40">
        <v>0.68</v>
      </c>
    </row>
    <row r="11" spans="1:4" ht="14.25" thickTop="1" thickBot="1" x14ac:dyDescent="0.25">
      <c r="A11" s="79"/>
      <c r="B11" s="41">
        <v>2.94</v>
      </c>
      <c r="C11" s="41">
        <v>1.47</v>
      </c>
      <c r="D11" s="42">
        <v>1</v>
      </c>
    </row>
    <row r="12" spans="1:4" s="44" customFormat="1" ht="28.5" customHeight="1" thickTop="1" thickBot="1" x14ac:dyDescent="0.25">
      <c r="A12" s="43" t="s">
        <v>65</v>
      </c>
      <c r="B12" s="80" t="s">
        <v>66</v>
      </c>
      <c r="C12" s="80"/>
      <c r="D12" s="80"/>
    </row>
    <row r="13" spans="1:4" ht="13.5" thickTop="1" x14ac:dyDescent="0.2">
      <c r="A13" s="45" t="s">
        <v>67</v>
      </c>
    </row>
    <row r="16" spans="1:4" x14ac:dyDescent="0.2">
      <c r="A16" s="81" t="s">
        <v>97</v>
      </c>
      <c r="B16" s="52" t="s">
        <v>100</v>
      </c>
      <c r="C16" s="52" t="s">
        <v>99</v>
      </c>
      <c r="D16" s="52" t="s">
        <v>98</v>
      </c>
    </row>
    <row r="17" spans="1:4" x14ac:dyDescent="0.2">
      <c r="A17" s="82"/>
      <c r="B17" s="53">
        <v>1.39</v>
      </c>
      <c r="C17" s="54">
        <v>1</v>
      </c>
      <c r="D17" s="54">
        <v>1</v>
      </c>
    </row>
    <row r="19" spans="1:4" x14ac:dyDescent="0.2">
      <c r="A19" s="46" t="s">
        <v>68</v>
      </c>
      <c r="B19" s="47" t="s">
        <v>69</v>
      </c>
      <c r="C19" s="47" t="s">
        <v>70</v>
      </c>
      <c r="D19" s="47" t="s">
        <v>71</v>
      </c>
    </row>
    <row r="20" spans="1:4" x14ac:dyDescent="0.2">
      <c r="A20" s="48" t="s">
        <v>72</v>
      </c>
      <c r="B20" s="49">
        <v>415</v>
      </c>
      <c r="C20" s="49">
        <v>356</v>
      </c>
      <c r="D20" s="49">
        <f>AVERAGE(B20:C20)</f>
        <v>385.5</v>
      </c>
    </row>
    <row r="21" spans="1:4" x14ac:dyDescent="0.2">
      <c r="A21" s="50" t="s">
        <v>73</v>
      </c>
      <c r="B21" s="50"/>
      <c r="C21" s="50"/>
      <c r="D21" s="50"/>
    </row>
    <row r="23" spans="1:4" x14ac:dyDescent="0.2">
      <c r="A23" s="55" t="s">
        <v>102</v>
      </c>
      <c r="B23" s="51"/>
      <c r="C23" s="51"/>
      <c r="D23" s="51"/>
    </row>
    <row r="24" spans="1:4" x14ac:dyDescent="0.2">
      <c r="A24" s="77" t="s">
        <v>101</v>
      </c>
      <c r="B24" s="77"/>
      <c r="C24" s="77"/>
      <c r="D24" s="77"/>
    </row>
    <row r="25" spans="1:4" x14ac:dyDescent="0.2">
      <c r="A25" s="77"/>
      <c r="B25" s="77"/>
      <c r="C25" s="77"/>
      <c r="D25" s="77"/>
    </row>
    <row r="26" spans="1:4" x14ac:dyDescent="0.2">
      <c r="A26" s="77"/>
      <c r="B26" s="77"/>
      <c r="C26" s="77"/>
      <c r="D26" s="77"/>
    </row>
    <row r="27" spans="1:4" x14ac:dyDescent="0.2">
      <c r="A27" s="77"/>
      <c r="B27" s="77"/>
      <c r="C27" s="77"/>
      <c r="D27" s="77"/>
    </row>
    <row r="28" spans="1:4" x14ac:dyDescent="0.2">
      <c r="A28" s="78"/>
      <c r="B28" s="78"/>
      <c r="C28" s="78"/>
      <c r="D28" s="78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FORMULÁRIO</vt:lpstr>
      <vt:lpstr>Fatores e notas</vt:lpstr>
      <vt:lpstr>FORMULÁRIO!Area_de_impressao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Signor</cp:lastModifiedBy>
  <cp:lastPrinted>2023-12-19T10:06:38Z</cp:lastPrinted>
  <dcterms:created xsi:type="dcterms:W3CDTF">2020-06-24T18:57:09Z</dcterms:created>
  <dcterms:modified xsi:type="dcterms:W3CDTF">2023-12-19T11:18:59Z</dcterms:modified>
</cp:coreProperties>
</file>