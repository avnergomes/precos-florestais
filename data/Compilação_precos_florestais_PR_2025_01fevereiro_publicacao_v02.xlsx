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ablosignor\Documents\2025\Florestais_2025\Precos_florestais_2025\2025_01_fevereiro\NRs_recebidos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FORMULÁRIO!$A$1:$AB$71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B60" i="1" l="1"/>
  <c r="AA29" i="1" l="1"/>
  <c r="AB29" i="1" s="1"/>
  <c r="AA30" i="1"/>
  <c r="AB30" i="1" s="1"/>
  <c r="AA19" i="1"/>
  <c r="AB19" i="1" s="1"/>
  <c r="AA69" i="1"/>
  <c r="AA68" i="1"/>
  <c r="AA65" i="1"/>
  <c r="AA45" i="1"/>
  <c r="AA46" i="1"/>
  <c r="AB46" i="1" s="1"/>
  <c r="AA47" i="1"/>
  <c r="AB47" i="1" s="1"/>
  <c r="AA48" i="1"/>
  <c r="AA49" i="1"/>
  <c r="AB49" i="1" s="1"/>
  <c r="AA50" i="1"/>
  <c r="AA51" i="1"/>
  <c r="AB51" i="1" s="1"/>
  <c r="AA52" i="1"/>
  <c r="AA53" i="1"/>
  <c r="AA54" i="1"/>
  <c r="AB54" i="1" s="1"/>
  <c r="AA55" i="1"/>
  <c r="AB55" i="1" s="1"/>
  <c r="AA56" i="1"/>
  <c r="AA57" i="1"/>
  <c r="AA44" i="1"/>
  <c r="AA37" i="1"/>
  <c r="AA38" i="1"/>
  <c r="AA39" i="1"/>
  <c r="AA41" i="1"/>
  <c r="AA36" i="1"/>
  <c r="AA33" i="1"/>
  <c r="AA27" i="1"/>
  <c r="AA28" i="1"/>
  <c r="AB28" i="1" s="1"/>
  <c r="AA26" i="1"/>
  <c r="AA9" i="1"/>
  <c r="AB9" i="1" s="1"/>
  <c r="AA10" i="1"/>
  <c r="AB10" i="1" s="1"/>
  <c r="AA11" i="1"/>
  <c r="AB11" i="1" s="1"/>
  <c r="AA12" i="1"/>
  <c r="AB12" i="1" s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56" i="1"/>
  <c r="AB38" i="1"/>
  <c r="AB18" i="1"/>
  <c r="AB20" i="1"/>
  <c r="AB33" i="1"/>
  <c r="AB44" i="1"/>
  <c r="AB57" i="1"/>
  <c r="AB69" i="1"/>
  <c r="AB53" i="1"/>
  <c r="AA58" i="1"/>
  <c r="AB58" i="1" s="1"/>
  <c r="AB50" i="1"/>
  <c r="AB68" i="1"/>
  <c r="AB21" i="1"/>
  <c r="AB39" i="1"/>
  <c r="AB14" i="1"/>
  <c r="AB17" i="1"/>
  <c r="AB27" i="1"/>
  <c r="AB22" i="1"/>
  <c r="AB52" i="1"/>
  <c r="AA59" i="1"/>
  <c r="AB59" i="1" s="1"/>
  <c r="AB37" i="1"/>
  <c r="AB65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<sst xmlns="http://schemas.openxmlformats.org/spreadsheetml/2006/main" count="157" uniqueCount="115">
  <si>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</si>
  <si>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</si>
  <si>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</si>
  <si>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</si>
  <si>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</si>
  <si>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</si>
  <si>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</si>
  <si>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</si>
  <si>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</si>
  <si>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</si>
  <si>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</si>
  <si>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</si>
  <si>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</si>
  <si>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</si>
  <si>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</si>
  <si>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</si>
  <si>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</si>
  <si>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</si>
  <si>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</si>
  <si>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</si>
  <si>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</si>
  <si>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</si>
  <si>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</si>
  <si>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</si>
  <si>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</si>
  <si>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</si>
  <si>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</si>
  <si>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</si>
  <si>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</si>
  <si>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</si>
  <si>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</si>
  <si>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</si>
  <si>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</si>
  <si>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</si>
  <si>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</si>
  <si>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</si>
  <si>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</si>
  <si>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</si>
  <si>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</si>
  <si>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</si>
  <si>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</si>
  <si>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</si>
  <si>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</si>
  <si>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</si>
  <si>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</si>
  <si>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</si>
  <si>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</si>
  <si>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</si>
  <si>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</si>
  <si>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</si>
  <si>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</si>
  <si>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</si>
  <si>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</si>
  <si>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</si>
  <si>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</si>
  <si>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</si>
  <si>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</si>
  <si>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</si>
  <si>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</si>
  <si>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</si>
  <si>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</si>
  <si>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</si>
  <si>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</si>
  <si>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</si>
  <si>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</si>
  <si>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</si>
  <si>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</si>
  <si>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</si>
  <si>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</si>
  <si>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</si>
  <si>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</si>
  <si>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</si>
  <si>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</si>
  <si>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</si>
  <si>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</si>
  <si>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</si>
  <si>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</si>
  <si>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</si>
  <si>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</si>
  <si>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</si>
  <si>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</si>
  <si>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</si>
  <si>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</si>
  <si>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</si>
  <si>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</si>
  <si>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</si>
  <si>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</si>
  <si>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</si>
  <si>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</si>
  <si>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</si>
  <si>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</si>
  <si>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</si>
  <si>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</si>
  <si>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</si>
  <si>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</si>
  <si>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</si>
  <si>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</si>
  <si>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</si>
  <si>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</si>
  <si>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</si>
  <si>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</si>
  <si>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</si>
  <si>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</si>
  <si>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</si>
  <si>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</si>
  <si>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</si>
  <si>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</si>
  <si>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</si>
  <si>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</si>
  <si>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</si>
  <si>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</si>
  <si>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Cianorte</t>
  </si>
  <si>
    <t>Lenha</t>
  </si>
  <si>
    <t>Referência: fevereiro de 2025</t>
  </si>
  <si>
    <t>Nota: dados retificados em 02 de julho de 2025. Foi incluído o valor da "média atual" referente ao item "Custos médios relacionados a colheita e carregamento - Estado", que estava ausente na publicação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</si>
</sst>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3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 shrinkToFit="1"/>
    </xf>
    <xf numFmtId="2" fontId="3" fillId="0" borderId="8" xfId="0" applyNumberFormat="1" applyFont="1" applyBorder="1" applyAlignment="1">
      <alignment horizontal="left" vertical="center" wrapText="1" shrinkToFit="1"/>
    </xf>
    <xf numFmtId="2" fontId="4" fillId="3" borderId="0" xfId="0" applyNumberFormat="1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2" fontId="3" fillId="0" borderId="7" xfId="0" applyNumberFormat="1" applyFont="1" applyBorder="1" applyAlignment="1">
      <alignment horizontal="left" vertical="center" wrapText="1" shrinkToFit="1"/>
    </xf>
    <xf numFmtId="2" fontId="3" fillId="0" borderId="0" xfId="0" applyNumberFormat="1" applyFont="1" applyBorder="1" applyAlignment="1">
      <alignment horizontal="left" vertical="center" wrapText="1" shrinkToFit="1"/>
    </xf>
    <xf numFmtId="2" fontId="2" fillId="0" borderId="22" xfId="0" applyNumberFormat="1" applyFont="1" applyBorder="1" applyAlignment="1">
      <alignment vertical="center"/>
    </xf>
    <xf numFmtId="2" fontId="2" fillId="0" borderId="6" xfId="0" applyNumberFormat="1" applyFont="1" applyFill="1" applyBorder="1" applyAlignment="1">
      <alignment vertical="center"/>
    </xf>
    <xf numFmtId="2" fontId="2" fillId="0" borderId="23" xfId="0" applyNumberFormat="1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shrinkToFit="1"/>
    </xf>
    <xf numFmtId="9" fontId="2" fillId="0" borderId="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horizontal="left" vertical="center" shrinkToFit="1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3" fillId="0" borderId="11" xfId="0" applyFont="1" applyFill="1" applyBorder="1" applyAlignment="1">
      <alignment horizontal="left" vertical="center" shrinkToFit="1"/>
    </xf>
    <xf numFmtId="2" fontId="2" fillId="0" borderId="0" xfId="0" applyNumberFormat="1" applyFont="1" applyFill="1" applyAlignment="1">
      <alignment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/>
    </xf>
    <xf numFmtId="2" fontId="2" fillId="0" borderId="17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  <xf numFmtId="2" fontId="5" fillId="0" borderId="0" xfId="0" applyNumberFormat="1" applyFont="1" applyAlignment="1">
      <alignment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1"/>
  <sheetViews>
    <sheetView tabSelected="1" defaultGridColor="0" colorId="9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9" s="11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Z1" s="12"/>
      <c r="AA1" s="12"/>
      <c r="AB1" s="13"/>
    </row>
    <row r="2" spans="1:29" s="11" customFormat="1" x14ac:dyDescent="0.2">
      <c r="A2" s="71" t="s">
        <v>86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9" s="11" customFormat="1" x14ac:dyDescent="0.2">
      <c r="A3" s="71" t="s">
        <v>85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 s="11" customFormat="1" x14ac:dyDescent="0.2">
      <c r="A4" s="72" t="s">
        <v>87</v>
      </c>
      <c r="B4" s="7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Z4" s="12"/>
      <c r="AA4" s="12"/>
      <c r="AB4" s="13"/>
    </row>
    <row r="5" spans="1:29" s="11" customFormat="1" x14ac:dyDescent="0.2">
      <c r="A5" s="14" t="s">
        <v>113</v>
      </c>
      <c r="B5" s="14"/>
      <c r="C5" s="16"/>
      <c r="D5" s="16"/>
      <c r="E5" s="39"/>
      <c r="F5" s="39"/>
      <c r="G5" s="3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39"/>
      <c r="T5" s="16"/>
      <c r="U5" s="39"/>
      <c r="V5" s="16"/>
      <c r="W5" s="39"/>
      <c r="X5" s="39"/>
      <c r="Z5" s="16"/>
      <c r="AA5" s="12"/>
      <c r="AB5" s="13"/>
    </row>
    <row r="6" spans="1:29" ht="91.5" customHeight="1" x14ac:dyDescent="0.2">
      <c r="A6" s="37" t="s">
        <v>0</v>
      </c>
      <c r="B6" s="38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36" t="s">
        <v>23</v>
      </c>
      <c r="AA6" s="4" t="s">
        <v>24</v>
      </c>
      <c r="AB6" s="5" t="s">
        <v>25</v>
      </c>
    </row>
    <row r="7" spans="1:29" ht="13.5" thickBot="1" x14ac:dyDescent="0.25">
      <c r="A7" s="48" t="s">
        <v>95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11"/>
      <c r="Z7" s="49"/>
      <c r="AA7" s="49"/>
      <c r="AB7" s="49"/>
      <c r="AC7" s="11"/>
    </row>
    <row r="8" spans="1:29" ht="12.75" customHeight="1" x14ac:dyDescent="0.2">
      <c r="A8" s="50" t="s">
        <v>88</v>
      </c>
      <c r="B8" s="6" t="s">
        <v>26</v>
      </c>
      <c r="C8" s="42"/>
      <c r="D8" s="42">
        <v>2</v>
      </c>
      <c r="E8" s="42"/>
      <c r="F8" s="42"/>
      <c r="G8" s="42">
        <v>0.7</v>
      </c>
      <c r="H8" s="42"/>
      <c r="I8" s="42"/>
      <c r="J8" s="42"/>
      <c r="K8" s="42"/>
      <c r="L8" s="42">
        <v>1.6</v>
      </c>
      <c r="M8" s="42"/>
      <c r="N8" s="42"/>
      <c r="O8" s="42"/>
      <c r="P8" s="42">
        <v>1.2</v>
      </c>
      <c r="Q8" s="42"/>
      <c r="R8" s="42">
        <v>0.75</v>
      </c>
      <c r="S8" s="42">
        <v>1</v>
      </c>
      <c r="T8" s="42"/>
      <c r="U8" s="42">
        <v>1.2</v>
      </c>
      <c r="V8" s="42"/>
      <c r="W8" s="42">
        <v>1.5</v>
      </c>
      <c r="X8" s="42"/>
      <c r="Y8" s="11"/>
      <c r="Z8" s="42">
        <v>1.3062499999999999</v>
      </c>
      <c r="AA8" s="43">
        <f>AVERAGE(C8:X8)</f>
        <v>1.2437500000000001</v>
      </c>
      <c r="AB8" s="44">
        <f t="shared" ref="AB8:AB18" si="0">AA8/Z8-1</f>
        <v>-4.7846889952152916E-2</v>
      </c>
      <c r="AC8" s="11"/>
    </row>
    <row r="9" spans="1:29" ht="12.75" customHeight="1" x14ac:dyDescent="0.2">
      <c r="A9" s="50" t="s">
        <v>27</v>
      </c>
      <c r="B9" s="6" t="s">
        <v>26</v>
      </c>
      <c r="C9" s="42"/>
      <c r="D9" s="42"/>
      <c r="E9" s="42"/>
      <c r="F9" s="42">
        <v>0.7</v>
      </c>
      <c r="G9" s="42">
        <v>0.7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>
        <v>0.75</v>
      </c>
      <c r="S9" s="42"/>
      <c r="T9" s="42"/>
      <c r="U9" s="42">
        <v>1.3</v>
      </c>
      <c r="V9" s="42"/>
      <c r="W9" s="42"/>
      <c r="X9" s="42"/>
      <c r="Y9" s="11"/>
      <c r="Z9" s="42">
        <v>1.0125000000000002</v>
      </c>
      <c r="AA9" s="43">
        <f t="shared" ref="AA9:AA23" si="1">AVERAGE(C9:X9)</f>
        <v>0.86250000000000004</v>
      </c>
      <c r="AB9" s="44">
        <f t="shared" si="0"/>
        <v>-0.14814814814814825</v>
      </c>
      <c r="AC9" s="11"/>
    </row>
    <row r="10" spans="1:29" ht="12.75" customHeight="1" x14ac:dyDescent="0.2">
      <c r="A10" s="50" t="s">
        <v>28</v>
      </c>
      <c r="B10" s="6" t="s">
        <v>26</v>
      </c>
      <c r="C10" s="42"/>
      <c r="D10" s="42">
        <v>2</v>
      </c>
      <c r="E10" s="42"/>
      <c r="F10" s="42"/>
      <c r="G10" s="42">
        <v>0.7</v>
      </c>
      <c r="H10" s="42">
        <v>0.83</v>
      </c>
      <c r="I10" s="42"/>
      <c r="J10" s="42">
        <v>0.99</v>
      </c>
      <c r="K10" s="42">
        <v>1</v>
      </c>
      <c r="L10" s="42"/>
      <c r="M10" s="42"/>
      <c r="N10" s="42"/>
      <c r="O10" s="42"/>
      <c r="P10" s="42"/>
      <c r="Q10" s="42"/>
      <c r="R10" s="42">
        <v>0.75</v>
      </c>
      <c r="S10" s="42">
        <v>1</v>
      </c>
      <c r="T10" s="42"/>
      <c r="U10" s="42">
        <v>1.2</v>
      </c>
      <c r="V10" s="42">
        <v>0.9</v>
      </c>
      <c r="W10" s="42"/>
      <c r="X10" s="42">
        <v>1.1000000000000001</v>
      </c>
      <c r="Y10" s="11"/>
      <c r="Z10" s="42">
        <v>1.0699999999999998</v>
      </c>
      <c r="AA10" s="43">
        <f t="shared" si="1"/>
        <v>1.0470000000000002</v>
      </c>
      <c r="AB10" s="44">
        <f t="shared" si="0"/>
        <v>-2.1495327102803441E-2</v>
      </c>
      <c r="AC10" s="11"/>
    </row>
    <row r="11" spans="1:29" ht="12.75" customHeight="1" x14ac:dyDescent="0.2">
      <c r="A11" s="50" t="s">
        <v>29</v>
      </c>
      <c r="B11" s="6" t="s">
        <v>26</v>
      </c>
      <c r="C11" s="42"/>
      <c r="D11" s="42"/>
      <c r="E11" s="42"/>
      <c r="F11" s="42">
        <v>0.7</v>
      </c>
      <c r="G11" s="42">
        <v>0.8</v>
      </c>
      <c r="H11" s="42">
        <v>0.85</v>
      </c>
      <c r="I11" s="42"/>
      <c r="J11" s="42"/>
      <c r="K11" s="42"/>
      <c r="L11" s="42">
        <v>1.5</v>
      </c>
      <c r="M11" s="42">
        <v>1.2</v>
      </c>
      <c r="N11" s="42"/>
      <c r="O11" s="42">
        <v>1.4</v>
      </c>
      <c r="P11" s="42"/>
      <c r="Q11" s="42"/>
      <c r="R11" s="42">
        <v>0.75</v>
      </c>
      <c r="S11" s="42">
        <v>1</v>
      </c>
      <c r="T11" s="42"/>
      <c r="U11" s="42">
        <v>1.2</v>
      </c>
      <c r="V11" s="42"/>
      <c r="W11" s="42">
        <v>1.5</v>
      </c>
      <c r="X11" s="42">
        <v>1</v>
      </c>
      <c r="Y11" s="11"/>
      <c r="Z11" s="42">
        <v>1.0909090909090908</v>
      </c>
      <c r="AA11" s="43">
        <f t="shared" si="1"/>
        <v>1.0818181818181818</v>
      </c>
      <c r="AB11" s="44">
        <f t="shared" si="0"/>
        <v>-8.3333333333333037E-3</v>
      </c>
      <c r="AC11" s="11"/>
    </row>
    <row r="12" spans="1:29" ht="12.75" customHeight="1" x14ac:dyDescent="0.2">
      <c r="A12" s="50" t="s">
        <v>30</v>
      </c>
      <c r="B12" s="6" t="s">
        <v>26</v>
      </c>
      <c r="C12" s="42"/>
      <c r="D12" s="42"/>
      <c r="E12" s="42"/>
      <c r="F12" s="42"/>
      <c r="G12" s="42">
        <v>0.7</v>
      </c>
      <c r="H12" s="42">
        <v>0.8</v>
      </c>
      <c r="I12" s="42"/>
      <c r="J12" s="42"/>
      <c r="K12" s="42"/>
      <c r="L12" s="42">
        <v>1.6</v>
      </c>
      <c r="M12" s="42">
        <v>1.2</v>
      </c>
      <c r="N12" s="42"/>
      <c r="O12" s="42"/>
      <c r="P12" s="42"/>
      <c r="Q12" s="42"/>
      <c r="R12" s="42"/>
      <c r="S12" s="42"/>
      <c r="T12" s="42"/>
      <c r="U12" s="42">
        <v>1.2</v>
      </c>
      <c r="V12" s="42"/>
      <c r="W12" s="42"/>
      <c r="X12" s="42">
        <v>1</v>
      </c>
      <c r="Y12" s="11"/>
      <c r="Z12" s="42">
        <v>1.1500000000000001</v>
      </c>
      <c r="AA12" s="43">
        <f t="shared" si="1"/>
        <v>1.0833333333333333</v>
      </c>
      <c r="AB12" s="44">
        <f t="shared" si="0"/>
        <v>-5.797101449275377E-2</v>
      </c>
      <c r="AC12" s="11"/>
    </row>
    <row r="13" spans="1:29" ht="12.75" customHeight="1" x14ac:dyDescent="0.2">
      <c r="A13" s="50" t="s">
        <v>31</v>
      </c>
      <c r="B13" s="6" t="s">
        <v>26</v>
      </c>
      <c r="C13" s="42"/>
      <c r="D13" s="42"/>
      <c r="E13" s="42"/>
      <c r="F13" s="42"/>
      <c r="G13" s="42"/>
      <c r="H13" s="42"/>
      <c r="I13" s="42"/>
      <c r="J13" s="1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11"/>
      <c r="Z13" s="42"/>
      <c r="AA13" s="43"/>
      <c r="AB13" s="44"/>
      <c r="AC13" s="11"/>
    </row>
    <row r="14" spans="1:29" ht="12.75" customHeight="1" x14ac:dyDescent="0.2">
      <c r="A14" s="50" t="s">
        <v>32</v>
      </c>
      <c r="B14" s="6" t="s">
        <v>26</v>
      </c>
      <c r="C14" s="42"/>
      <c r="D14" s="42"/>
      <c r="E14" s="42"/>
      <c r="F14" s="42"/>
      <c r="G14" s="42"/>
      <c r="H14" s="42">
        <v>0.95</v>
      </c>
      <c r="I14" s="42"/>
      <c r="J14" s="42">
        <v>1.02</v>
      </c>
      <c r="K14" s="42"/>
      <c r="L14" s="42"/>
      <c r="M14" s="42"/>
      <c r="N14" s="42"/>
      <c r="O14" s="42"/>
      <c r="P14" s="42"/>
      <c r="Q14" s="42"/>
      <c r="R14" s="42">
        <v>0.75</v>
      </c>
      <c r="S14" s="42">
        <v>1</v>
      </c>
      <c r="T14" s="42"/>
      <c r="U14" s="42">
        <v>1.2</v>
      </c>
      <c r="V14" s="42"/>
      <c r="W14" s="42"/>
      <c r="X14" s="42">
        <v>1</v>
      </c>
      <c r="Y14" s="11"/>
      <c r="Z14" s="42">
        <v>0.93333333333333324</v>
      </c>
      <c r="AA14" s="43">
        <f t="shared" si="1"/>
        <v>0.98666666666666669</v>
      </c>
      <c r="AB14" s="44">
        <f t="shared" si="0"/>
        <v>5.7142857142857384E-2</v>
      </c>
      <c r="AC14" s="11"/>
    </row>
    <row r="15" spans="1:29" ht="12.75" customHeight="1" x14ac:dyDescent="0.2">
      <c r="A15" s="50" t="s">
        <v>33</v>
      </c>
      <c r="B15" s="6" t="s">
        <v>26</v>
      </c>
      <c r="C15" s="42"/>
      <c r="D15" s="42">
        <v>1.6</v>
      </c>
      <c r="E15" s="42"/>
      <c r="F15" s="42"/>
      <c r="G15" s="42"/>
      <c r="H15" s="42"/>
      <c r="I15" s="42"/>
      <c r="J15" s="12"/>
      <c r="K15" s="42"/>
      <c r="L15" s="42">
        <v>1</v>
      </c>
      <c r="M15" s="42">
        <v>1.2</v>
      </c>
      <c r="N15" s="42"/>
      <c r="O15" s="42"/>
      <c r="P15" s="42"/>
      <c r="Q15" s="42"/>
      <c r="R15" s="42">
        <v>0.75</v>
      </c>
      <c r="S15" s="42"/>
      <c r="T15" s="42"/>
      <c r="U15" s="42">
        <v>1.2</v>
      </c>
      <c r="V15" s="42"/>
      <c r="W15" s="42">
        <v>1.6</v>
      </c>
      <c r="X15" s="42"/>
      <c r="Y15" s="11"/>
      <c r="Z15" s="41">
        <v>1.2071428571428571</v>
      </c>
      <c r="AA15" s="43">
        <f t="shared" si="1"/>
        <v>1.2249999999999999</v>
      </c>
      <c r="AB15" s="44">
        <f t="shared" si="0"/>
        <v>1.4792899408283988E-2</v>
      </c>
      <c r="AC15" s="11"/>
    </row>
    <row r="16" spans="1:29" ht="12.75" customHeight="1" x14ac:dyDescent="0.2">
      <c r="A16" s="50" t="s">
        <v>34</v>
      </c>
      <c r="B16" s="6" t="s">
        <v>26</v>
      </c>
      <c r="C16" s="42"/>
      <c r="D16" s="42"/>
      <c r="E16" s="42"/>
      <c r="F16" s="42"/>
      <c r="G16" s="42">
        <v>0.8</v>
      </c>
      <c r="H16" s="42">
        <v>1.05</v>
      </c>
      <c r="I16" s="42"/>
      <c r="J16" s="42">
        <v>1.05</v>
      </c>
      <c r="K16" s="42">
        <v>1</v>
      </c>
      <c r="L16" s="42">
        <v>1</v>
      </c>
      <c r="M16" s="42"/>
      <c r="N16" s="42"/>
      <c r="O16" s="42"/>
      <c r="P16" s="42"/>
      <c r="Q16" s="42"/>
      <c r="R16" s="42"/>
      <c r="S16" s="42">
        <v>1.1000000000000001</v>
      </c>
      <c r="T16" s="42"/>
      <c r="U16" s="42">
        <v>1.2</v>
      </c>
      <c r="V16" s="42"/>
      <c r="W16" s="42"/>
      <c r="X16" s="42">
        <v>1.1000000000000001</v>
      </c>
      <c r="Y16" s="11"/>
      <c r="Z16" s="42">
        <v>1.0493749999999999</v>
      </c>
      <c r="AA16" s="43">
        <f t="shared" si="1"/>
        <v>1.0375000000000001</v>
      </c>
      <c r="AB16" s="44">
        <f t="shared" si="0"/>
        <v>-1.1316259678379903E-2</v>
      </c>
      <c r="AC16" s="11"/>
    </row>
    <row r="17" spans="1:29" ht="12.75" customHeight="1" x14ac:dyDescent="0.2">
      <c r="A17" s="50" t="s">
        <v>35</v>
      </c>
      <c r="B17" s="6" t="s">
        <v>26</v>
      </c>
      <c r="C17" s="42"/>
      <c r="D17" s="42"/>
      <c r="E17" s="42"/>
      <c r="F17" s="42"/>
      <c r="G17" s="42"/>
      <c r="H17" s="42">
        <v>1.2</v>
      </c>
      <c r="I17" s="41"/>
      <c r="J17" s="42">
        <v>1.07</v>
      </c>
      <c r="K17" s="42">
        <v>1</v>
      </c>
      <c r="L17" s="42">
        <v>1</v>
      </c>
      <c r="M17" s="42">
        <v>1.3</v>
      </c>
      <c r="N17" s="42"/>
      <c r="O17" s="42"/>
      <c r="P17" s="42"/>
      <c r="Q17" s="42"/>
      <c r="R17" s="42"/>
      <c r="S17" s="42">
        <v>1.22</v>
      </c>
      <c r="T17" s="42"/>
      <c r="U17" s="42">
        <v>1.2</v>
      </c>
      <c r="V17" s="42"/>
      <c r="W17" s="42"/>
      <c r="X17" s="42">
        <v>1.2</v>
      </c>
      <c r="Y17" s="11"/>
      <c r="Z17" s="42">
        <v>1.1037499999999998</v>
      </c>
      <c r="AA17" s="43">
        <f t="shared" si="1"/>
        <v>1.1487499999999999</v>
      </c>
      <c r="AB17" s="44">
        <f t="shared" si="0"/>
        <v>4.0770101925254876E-2</v>
      </c>
      <c r="AC17" s="11"/>
    </row>
    <row r="18" spans="1:29" ht="12.75" customHeight="1" x14ac:dyDescent="0.2">
      <c r="A18" s="50" t="s">
        <v>36</v>
      </c>
      <c r="B18" s="6" t="s">
        <v>26</v>
      </c>
      <c r="C18" s="42"/>
      <c r="D18" s="42"/>
      <c r="E18" s="42"/>
      <c r="F18" s="42"/>
      <c r="G18" s="42">
        <v>0.8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11"/>
      <c r="Z18" s="42">
        <v>1.2</v>
      </c>
      <c r="AA18" s="43">
        <f t="shared" si="1"/>
        <v>0.8</v>
      </c>
      <c r="AB18" s="44">
        <f t="shared" si="0"/>
        <v>-0.33333333333333326</v>
      </c>
      <c r="AC18" s="11"/>
    </row>
    <row r="19" spans="1:29" ht="12.75" customHeight="1" x14ac:dyDescent="0.2">
      <c r="A19" s="50" t="s">
        <v>38</v>
      </c>
      <c r="B19" s="6" t="s">
        <v>26</v>
      </c>
      <c r="C19" s="42"/>
      <c r="D19" s="42"/>
      <c r="E19" s="42"/>
      <c r="F19" s="42"/>
      <c r="G19" s="42">
        <v>2.1</v>
      </c>
      <c r="H19" s="42"/>
      <c r="I19" s="42"/>
      <c r="J19" s="42">
        <v>2.82</v>
      </c>
      <c r="K19" s="42"/>
      <c r="L19" s="42">
        <v>5</v>
      </c>
      <c r="M19" s="42"/>
      <c r="N19" s="42"/>
      <c r="O19" s="42"/>
      <c r="P19" s="42"/>
      <c r="Q19" s="42"/>
      <c r="R19" s="42"/>
      <c r="S19" s="42">
        <v>5</v>
      </c>
      <c r="T19" s="42"/>
      <c r="U19" s="42">
        <v>2.5</v>
      </c>
      <c r="V19" s="42"/>
      <c r="W19" s="42"/>
      <c r="X19" s="42">
        <v>3</v>
      </c>
      <c r="Y19" s="11"/>
      <c r="Z19" s="42">
        <v>3.1833333333333336</v>
      </c>
      <c r="AA19" s="43">
        <f t="shared" si="1"/>
        <v>3.4033333333333338</v>
      </c>
      <c r="AB19" s="44">
        <f>AA19/Z19-1</f>
        <v>6.9109947643979153E-2</v>
      </c>
      <c r="AC19" s="11"/>
    </row>
    <row r="20" spans="1:29" ht="12.75" customHeight="1" x14ac:dyDescent="0.2">
      <c r="A20" s="50" t="s">
        <v>106</v>
      </c>
      <c r="B20" s="6" t="s">
        <v>26</v>
      </c>
      <c r="C20" s="42"/>
      <c r="D20" s="42"/>
      <c r="E20" s="42"/>
      <c r="F20" s="42"/>
      <c r="G20" s="42"/>
      <c r="H20" s="42"/>
      <c r="I20" s="42"/>
      <c r="J20" s="42">
        <v>1.57</v>
      </c>
      <c r="K20" s="42">
        <v>1.5</v>
      </c>
      <c r="L20" s="42"/>
      <c r="M20" s="42"/>
      <c r="N20" s="42"/>
      <c r="O20" s="42"/>
      <c r="P20" s="42"/>
      <c r="Q20" s="42"/>
      <c r="R20" s="42"/>
      <c r="S20" s="42">
        <v>1.25</v>
      </c>
      <c r="T20" s="42">
        <v>1.75</v>
      </c>
      <c r="U20" s="42">
        <v>1.45</v>
      </c>
      <c r="V20" s="42"/>
      <c r="W20" s="42"/>
      <c r="X20" s="42">
        <v>1.2</v>
      </c>
      <c r="Y20" s="11"/>
      <c r="Z20" s="42">
        <v>1.4800000000000002</v>
      </c>
      <c r="AA20" s="43">
        <f t="shared" si="1"/>
        <v>1.4533333333333334</v>
      </c>
      <c r="AB20" s="44">
        <f>AA20/Z20-1</f>
        <v>-1.8018018018018167E-2</v>
      </c>
      <c r="AC20" s="11"/>
    </row>
    <row r="21" spans="1:29" ht="12.75" customHeight="1" x14ac:dyDescent="0.2">
      <c r="A21" s="50" t="s">
        <v>39</v>
      </c>
      <c r="B21" s="6" t="s">
        <v>26</v>
      </c>
      <c r="C21" s="42"/>
      <c r="D21" s="42"/>
      <c r="E21" s="42"/>
      <c r="F21" s="42"/>
      <c r="G21" s="42">
        <v>2.7</v>
      </c>
      <c r="H21" s="42"/>
      <c r="I21" s="42"/>
      <c r="J21" s="42"/>
      <c r="K21" s="42"/>
      <c r="L21" s="42">
        <v>10</v>
      </c>
      <c r="M21" s="42"/>
      <c r="N21" s="42"/>
      <c r="O21" s="42">
        <v>5</v>
      </c>
      <c r="P21" s="42">
        <v>6</v>
      </c>
      <c r="Q21" s="42"/>
      <c r="R21" s="42"/>
      <c r="S21" s="42"/>
      <c r="T21" s="42"/>
      <c r="U21" s="42"/>
      <c r="V21" s="42"/>
      <c r="W21" s="42">
        <v>3</v>
      </c>
      <c r="X21" s="42"/>
      <c r="Y21" s="11"/>
      <c r="Z21" s="42">
        <v>5.4799999999999995</v>
      </c>
      <c r="AA21" s="43">
        <f t="shared" si="1"/>
        <v>5.34</v>
      </c>
      <c r="AB21" s="44">
        <f>AA21/Z21-1</f>
        <v>-2.5547445255474366E-2</v>
      </c>
      <c r="AC21" s="11"/>
    </row>
    <row r="22" spans="1:29" ht="12.75" customHeight="1" x14ac:dyDescent="0.2">
      <c r="A22" s="50" t="s">
        <v>40</v>
      </c>
      <c r="B22" s="6" t="s">
        <v>26</v>
      </c>
      <c r="C22" s="42"/>
      <c r="D22" s="42"/>
      <c r="E22" s="42"/>
      <c r="F22" s="42">
        <v>3</v>
      </c>
      <c r="G22" s="42">
        <v>2.6</v>
      </c>
      <c r="H22" s="42"/>
      <c r="I22" s="42"/>
      <c r="J22" s="42"/>
      <c r="K22" s="42"/>
      <c r="L22" s="42"/>
      <c r="M22" s="42"/>
      <c r="N22" s="42"/>
      <c r="O22" s="42">
        <v>5</v>
      </c>
      <c r="P22" s="42">
        <v>7</v>
      </c>
      <c r="Q22" s="42">
        <v>2.25</v>
      </c>
      <c r="R22" s="42"/>
      <c r="S22" s="42"/>
      <c r="T22" s="42"/>
      <c r="U22" s="42"/>
      <c r="V22" s="42"/>
      <c r="W22" s="42">
        <v>4</v>
      </c>
      <c r="X22" s="42"/>
      <c r="Y22" s="11"/>
      <c r="Z22" s="42">
        <v>4.05</v>
      </c>
      <c r="AA22" s="43">
        <f t="shared" si="1"/>
        <v>3.9750000000000001</v>
      </c>
      <c r="AB22" s="44">
        <f>AA22/Z22-1</f>
        <v>-1.851851851851849E-2</v>
      </c>
      <c r="AC22" s="11"/>
    </row>
    <row r="23" spans="1:29" ht="12.75" customHeight="1" x14ac:dyDescent="0.2">
      <c r="A23" s="50" t="s">
        <v>41</v>
      </c>
      <c r="B23" s="6" t="s">
        <v>26</v>
      </c>
      <c r="C23" s="42"/>
      <c r="D23" s="42"/>
      <c r="E23" s="42"/>
      <c r="F23" s="42"/>
      <c r="G23" s="42"/>
      <c r="H23" s="42"/>
      <c r="I23" s="42"/>
      <c r="J23" s="42"/>
      <c r="K23" s="42"/>
      <c r="L23" s="42">
        <v>25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>
        <v>3</v>
      </c>
      <c r="Y23" s="11"/>
      <c r="Z23" s="42">
        <v>14</v>
      </c>
      <c r="AA23" s="43">
        <f t="shared" si="1"/>
        <v>14</v>
      </c>
      <c r="AB23" s="44">
        <f>AA23/Z23-1</f>
        <v>0</v>
      </c>
      <c r="AC23" s="11"/>
    </row>
    <row r="24" spans="1:29" ht="12.75" customHeight="1" x14ac:dyDescent="0.2">
      <c r="A24" s="51"/>
      <c r="B24" s="8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11"/>
      <c r="Z24" s="42"/>
      <c r="AA24" s="43"/>
      <c r="AB24" s="44"/>
      <c r="AC24" s="11"/>
    </row>
    <row r="25" spans="1:29" ht="12.75" customHeight="1" thickBot="1" x14ac:dyDescent="0.25">
      <c r="A25" s="49" t="s">
        <v>94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1"/>
      <c r="Z25" s="49"/>
      <c r="AA25" s="49"/>
      <c r="AB25" s="49"/>
      <c r="AC25" s="11"/>
    </row>
    <row r="26" spans="1:29" ht="12.75" customHeight="1" x14ac:dyDescent="0.2">
      <c r="A26" s="50" t="s">
        <v>83</v>
      </c>
      <c r="B26" s="6" t="s">
        <v>26</v>
      </c>
      <c r="C26" s="42"/>
      <c r="D26" s="42"/>
      <c r="E26" s="42">
        <v>1.3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>
        <v>1.41</v>
      </c>
      <c r="Q26" s="42"/>
      <c r="R26" s="42"/>
      <c r="S26" s="42"/>
      <c r="T26" s="42"/>
      <c r="U26" s="42"/>
      <c r="V26" s="42"/>
      <c r="W26" s="42"/>
      <c r="X26" s="42"/>
      <c r="Y26" s="11"/>
      <c r="Z26" s="42">
        <v>1.3</v>
      </c>
      <c r="AA26" s="43">
        <f>AVERAGE(C26:X26)</f>
        <v>1.355</v>
      </c>
      <c r="AB26" s="44">
        <f>AA26/Z26-1</f>
        <v>4.2307692307692157E-2</v>
      </c>
      <c r="AC26" s="11"/>
    </row>
    <row r="27" spans="1:29" ht="12.75" customHeight="1" x14ac:dyDescent="0.2">
      <c r="A27" s="50" t="s">
        <v>105</v>
      </c>
      <c r="B27" s="6" t="s">
        <v>26</v>
      </c>
      <c r="C27" s="42"/>
      <c r="D27" s="42">
        <v>0.9</v>
      </c>
      <c r="E27" s="42">
        <v>1.4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>
        <v>1.41</v>
      </c>
      <c r="Q27" s="42"/>
      <c r="R27" s="42"/>
      <c r="S27" s="42"/>
      <c r="T27" s="42"/>
      <c r="U27" s="42"/>
      <c r="V27" s="42"/>
      <c r="W27" s="42"/>
      <c r="X27" s="42"/>
      <c r="Y27" s="11"/>
      <c r="Z27" s="42">
        <v>1.3500000000000003</v>
      </c>
      <c r="AA27" s="43">
        <f t="shared" ref="AA27:AA30" si="2">AVERAGE(C27:X27)</f>
        <v>1.2366666666666666</v>
      </c>
      <c r="AB27" s="44">
        <f t="shared" ref="AB27:AB30" si="3">AA27/Z27-1</f>
        <v>-8.3950617283950923E-2</v>
      </c>
      <c r="AC27" s="11"/>
    </row>
    <row r="28" spans="1:29" ht="12.75" customHeight="1" x14ac:dyDescent="0.2">
      <c r="A28" s="50" t="s">
        <v>89</v>
      </c>
      <c r="B28" s="6" t="s">
        <v>26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>
        <v>1.2</v>
      </c>
      <c r="V28" s="42"/>
      <c r="W28" s="42"/>
      <c r="X28" s="42"/>
      <c r="Y28" s="11"/>
      <c r="Z28" s="42">
        <v>1.2</v>
      </c>
      <c r="AA28" s="43">
        <f t="shared" si="2"/>
        <v>1.2</v>
      </c>
      <c r="AB28" s="44">
        <f t="shared" si="3"/>
        <v>0</v>
      </c>
      <c r="AC28" s="11"/>
    </row>
    <row r="29" spans="1:29" ht="12.75" customHeight="1" x14ac:dyDescent="0.2">
      <c r="A29" s="50" t="s">
        <v>107</v>
      </c>
      <c r="B29" s="6" t="s">
        <v>26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>
        <v>1.2</v>
      </c>
      <c r="V29" s="42"/>
      <c r="W29" s="42"/>
      <c r="X29" s="42"/>
      <c r="Y29" s="11"/>
      <c r="Z29" s="42">
        <v>1.2</v>
      </c>
      <c r="AA29" s="43">
        <f t="shared" si="2"/>
        <v>1.2</v>
      </c>
      <c r="AB29" s="44">
        <f t="shared" si="3"/>
        <v>0</v>
      </c>
      <c r="AC29" s="11"/>
    </row>
    <row r="30" spans="1:29" ht="12.75" customHeight="1" x14ac:dyDescent="0.2">
      <c r="A30" s="50" t="s">
        <v>90</v>
      </c>
      <c r="B30" s="6" t="s">
        <v>26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>
        <v>1.2</v>
      </c>
      <c r="V30" s="42"/>
      <c r="W30" s="42"/>
      <c r="X30" s="42"/>
      <c r="Y30" s="11"/>
      <c r="Z30" s="42">
        <v>1.2</v>
      </c>
      <c r="AA30" s="43">
        <f t="shared" si="2"/>
        <v>1.2</v>
      </c>
      <c r="AB30" s="44">
        <f t="shared" si="3"/>
        <v>0</v>
      </c>
      <c r="AC30" s="11"/>
    </row>
    <row r="31" spans="1:29" ht="12.75" customHeight="1" x14ac:dyDescent="0.2">
      <c r="A31" s="53"/>
      <c r="B31" s="5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11"/>
      <c r="Z31" s="42"/>
      <c r="AA31" s="43"/>
      <c r="AB31" s="44"/>
      <c r="AC31" s="11"/>
    </row>
    <row r="32" spans="1:29" ht="14.65" customHeight="1" thickBot="1" x14ac:dyDescent="0.25">
      <c r="A32" s="49" t="s">
        <v>37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11"/>
      <c r="Z32" s="49"/>
      <c r="AA32" s="49"/>
      <c r="AB32" s="49"/>
      <c r="AC32" s="11"/>
    </row>
    <row r="33" spans="1:29" ht="12.75" customHeight="1" x14ac:dyDescent="0.2">
      <c r="A33" s="50" t="s">
        <v>74</v>
      </c>
      <c r="B33" s="6" t="s">
        <v>26</v>
      </c>
      <c r="C33" s="42">
        <v>4.1500000000000004</v>
      </c>
      <c r="D33" s="42"/>
      <c r="E33" s="42"/>
      <c r="F33" s="42"/>
      <c r="G33" s="42">
        <v>5</v>
      </c>
      <c r="H33" s="42"/>
      <c r="I33" s="42"/>
      <c r="J33" s="42">
        <v>3.94</v>
      </c>
      <c r="K33" s="42"/>
      <c r="L33" s="42">
        <v>5</v>
      </c>
      <c r="M33" s="42"/>
      <c r="N33" s="42"/>
      <c r="O33" s="42">
        <v>5</v>
      </c>
      <c r="P33" s="42">
        <v>7</v>
      </c>
      <c r="Q33" s="42"/>
      <c r="R33" s="42"/>
      <c r="S33" s="42"/>
      <c r="T33" s="42"/>
      <c r="U33" s="42"/>
      <c r="V33" s="42"/>
      <c r="W33" s="42"/>
      <c r="X33" s="42">
        <v>3.5</v>
      </c>
      <c r="Y33" s="11"/>
      <c r="Z33" s="42">
        <v>4.78</v>
      </c>
      <c r="AA33" s="43">
        <f>AVERAGE(C33:X33)</f>
        <v>4.7985714285714289</v>
      </c>
      <c r="AB33" s="44">
        <f>AA33/Z33-1</f>
        <v>3.8852361028094418E-3</v>
      </c>
      <c r="AC33" s="11"/>
    </row>
    <row r="34" spans="1:29" ht="12.75" customHeight="1" x14ac:dyDescent="0.2">
      <c r="A34" s="54"/>
      <c r="B34" s="55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11"/>
      <c r="Z34" s="42"/>
      <c r="AA34" s="43"/>
      <c r="AB34" s="44"/>
      <c r="AC34" s="11"/>
    </row>
    <row r="35" spans="1:29" ht="14.65" customHeight="1" thickBot="1" x14ac:dyDescent="0.25">
      <c r="A35" s="49" t="s">
        <v>91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11"/>
      <c r="Z35" s="49"/>
      <c r="AA35" s="49"/>
      <c r="AB35" s="49"/>
      <c r="AC35" s="11"/>
    </row>
    <row r="36" spans="1:29" ht="12.75" customHeight="1" x14ac:dyDescent="0.2">
      <c r="A36" s="50" t="s">
        <v>42</v>
      </c>
      <c r="B36" s="6" t="s">
        <v>43</v>
      </c>
      <c r="C36" s="42"/>
      <c r="D36" s="42"/>
      <c r="E36" s="42"/>
      <c r="F36" s="42"/>
      <c r="G36" s="42"/>
      <c r="H36" s="42">
        <v>15</v>
      </c>
      <c r="I36" s="42"/>
      <c r="J36" s="42">
        <v>15</v>
      </c>
      <c r="K36" s="42">
        <v>15</v>
      </c>
      <c r="L36" s="42"/>
      <c r="M36" s="42"/>
      <c r="N36" s="42">
        <v>8</v>
      </c>
      <c r="O36" s="42"/>
      <c r="P36" s="42"/>
      <c r="Q36" s="42"/>
      <c r="R36" s="42"/>
      <c r="S36" s="42"/>
      <c r="T36" s="42">
        <v>15</v>
      </c>
      <c r="U36" s="42"/>
      <c r="V36" s="42"/>
      <c r="W36" s="42"/>
      <c r="X36" s="42">
        <v>11.25</v>
      </c>
      <c r="Y36" s="11"/>
      <c r="Z36" s="42">
        <v>14.373333333333335</v>
      </c>
      <c r="AA36" s="43">
        <f>AVERAGE(C36:X36)</f>
        <v>13.208333333333334</v>
      </c>
      <c r="AB36" s="44">
        <f t="shared" ref="AB36:AB41" si="4">AA36/Z36-1</f>
        <v>-8.105287569573294E-2</v>
      </c>
      <c r="AC36" s="11"/>
    </row>
    <row r="37" spans="1:29" ht="12.75" customHeight="1" x14ac:dyDescent="0.2">
      <c r="A37" s="50" t="s">
        <v>44</v>
      </c>
      <c r="B37" s="6" t="s">
        <v>43</v>
      </c>
      <c r="C37" s="42"/>
      <c r="D37" s="42"/>
      <c r="E37" s="42"/>
      <c r="F37" s="42"/>
      <c r="G37" s="42"/>
      <c r="H37" s="42"/>
      <c r="I37" s="42">
        <v>19.3</v>
      </c>
      <c r="J37" s="42">
        <v>21.92</v>
      </c>
      <c r="K37" s="42">
        <v>21</v>
      </c>
      <c r="L37" s="42"/>
      <c r="M37" s="42"/>
      <c r="N37" s="42">
        <v>16</v>
      </c>
      <c r="O37" s="42"/>
      <c r="P37" s="42"/>
      <c r="Q37" s="42"/>
      <c r="R37" s="42"/>
      <c r="S37" s="42">
        <v>22</v>
      </c>
      <c r="T37" s="42">
        <v>21</v>
      </c>
      <c r="U37" s="42">
        <v>19</v>
      </c>
      <c r="V37" s="42"/>
      <c r="W37" s="42"/>
      <c r="X37" s="42">
        <v>19</v>
      </c>
      <c r="Y37" s="11"/>
      <c r="Z37" s="42">
        <v>19.9725</v>
      </c>
      <c r="AA37" s="43">
        <f t="shared" ref="AA37:AA41" si="5">AVERAGE(C37:X37)</f>
        <v>19.9025</v>
      </c>
      <c r="AB37" s="44">
        <f t="shared" si="4"/>
        <v>-3.5048191262986306E-3</v>
      </c>
      <c r="AC37" s="11"/>
    </row>
    <row r="38" spans="1:29" ht="12.75" customHeight="1" x14ac:dyDescent="0.2">
      <c r="A38" s="50" t="s">
        <v>46</v>
      </c>
      <c r="B38" s="6" t="s">
        <v>104</v>
      </c>
      <c r="C38" s="42"/>
      <c r="D38" s="42"/>
      <c r="E38" s="42"/>
      <c r="F38" s="42">
        <v>5</v>
      </c>
      <c r="G38" s="42">
        <v>3</v>
      </c>
      <c r="H38" s="42"/>
      <c r="I38" s="42"/>
      <c r="J38" s="42"/>
      <c r="K38" s="42"/>
      <c r="L38" s="42"/>
      <c r="M38" s="42"/>
      <c r="N38" s="42"/>
      <c r="O38" s="42"/>
      <c r="P38" s="42"/>
      <c r="Q38" s="42">
        <v>2.75</v>
      </c>
      <c r="R38" s="42"/>
      <c r="S38" s="42"/>
      <c r="T38" s="42"/>
      <c r="U38" s="42"/>
      <c r="V38" s="42"/>
      <c r="W38" s="41">
        <v>7</v>
      </c>
      <c r="X38" s="42"/>
      <c r="Y38" s="11"/>
      <c r="Z38" s="41">
        <v>5.1624999999999996</v>
      </c>
      <c r="AA38" s="43">
        <f t="shared" si="5"/>
        <v>4.4375</v>
      </c>
      <c r="AB38" s="44">
        <f t="shared" si="4"/>
        <v>-0.1404358353510895</v>
      </c>
      <c r="AC38" s="11"/>
    </row>
    <row r="39" spans="1:29" ht="12.75" customHeight="1" x14ac:dyDescent="0.2">
      <c r="A39" s="50" t="s">
        <v>47</v>
      </c>
      <c r="B39" s="6" t="s">
        <v>45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>
        <v>7</v>
      </c>
      <c r="Q39" s="42"/>
      <c r="R39" s="41">
        <v>6</v>
      </c>
      <c r="S39" s="42"/>
      <c r="T39" s="42"/>
      <c r="U39" s="42"/>
      <c r="V39" s="42"/>
      <c r="W39" s="42"/>
      <c r="X39" s="42"/>
      <c r="Y39" s="11"/>
      <c r="Z39" s="41">
        <v>4.25</v>
      </c>
      <c r="AA39" s="43">
        <f t="shared" si="5"/>
        <v>6.5</v>
      </c>
      <c r="AB39" s="44">
        <f t="shared" si="4"/>
        <v>0.52941176470588225</v>
      </c>
      <c r="AC39" s="11"/>
    </row>
    <row r="40" spans="1:29" ht="12.75" customHeight="1" x14ac:dyDescent="0.2">
      <c r="A40" s="50" t="s">
        <v>48</v>
      </c>
      <c r="B40" s="6" t="s">
        <v>45</v>
      </c>
      <c r="C40" s="42"/>
      <c r="D40" s="42"/>
      <c r="E40" s="56"/>
      <c r="F40" s="56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11"/>
      <c r="Z40" s="41"/>
      <c r="AA40" s="43"/>
      <c r="AB40" s="44"/>
      <c r="AC40" s="11"/>
    </row>
    <row r="41" spans="1:29" ht="12.75" customHeight="1" x14ac:dyDescent="0.2">
      <c r="A41" s="50" t="s">
        <v>49</v>
      </c>
      <c r="B41" s="6" t="s">
        <v>45</v>
      </c>
      <c r="C41" s="41"/>
      <c r="D41" s="57"/>
      <c r="E41" s="58"/>
      <c r="F41" s="58"/>
      <c r="G41" s="41"/>
      <c r="H41" s="42">
        <v>4.62</v>
      </c>
      <c r="I41" s="42"/>
      <c r="J41" s="41"/>
      <c r="K41" s="41">
        <v>4.5</v>
      </c>
      <c r="L41" s="41"/>
      <c r="M41" s="41"/>
      <c r="N41" s="41">
        <v>4.7</v>
      </c>
      <c r="O41" s="42"/>
      <c r="P41" s="42"/>
      <c r="Q41" s="42"/>
      <c r="R41" s="42"/>
      <c r="S41" s="42"/>
      <c r="T41" s="42"/>
      <c r="U41" s="42">
        <v>4.7</v>
      </c>
      <c r="V41" s="42"/>
      <c r="W41" s="42"/>
      <c r="X41" s="42"/>
      <c r="Y41" s="11"/>
      <c r="Z41" s="41">
        <v>4.2939999999999996</v>
      </c>
      <c r="AA41" s="43">
        <f t="shared" si="5"/>
        <v>4.63</v>
      </c>
      <c r="AB41" s="44">
        <f t="shared" si="4"/>
        <v>7.8248719142990364E-2</v>
      </c>
      <c r="AC41" s="11"/>
    </row>
    <row r="42" spans="1:29" ht="12.75" customHeight="1" x14ac:dyDescent="0.2">
      <c r="A42" s="50"/>
      <c r="B42" s="55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11"/>
      <c r="Z42" s="42"/>
      <c r="AA42" s="43"/>
      <c r="AB42" s="44"/>
      <c r="AC42" s="11"/>
    </row>
    <row r="43" spans="1:29" ht="14.65" customHeight="1" thickBot="1" x14ac:dyDescent="0.25">
      <c r="A43" s="59" t="s">
        <v>75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11"/>
      <c r="Z43" s="49"/>
      <c r="AA43" s="49"/>
      <c r="AB43" s="49"/>
      <c r="AC43" s="11"/>
    </row>
    <row r="44" spans="1:29" ht="12.75" customHeight="1" x14ac:dyDescent="0.2">
      <c r="A44" s="50" t="s">
        <v>76</v>
      </c>
      <c r="B44" s="6" t="s">
        <v>50</v>
      </c>
      <c r="C44" s="42"/>
      <c r="D44" s="41"/>
      <c r="E44" s="42"/>
      <c r="F44" s="42"/>
      <c r="G44" s="42"/>
      <c r="H44" s="42"/>
      <c r="I44" s="42"/>
      <c r="J44" s="42">
        <v>475</v>
      </c>
      <c r="K44" s="42">
        <v>400</v>
      </c>
      <c r="L44" s="41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>
        <v>410</v>
      </c>
      <c r="Y44" s="11"/>
      <c r="Z44" s="42">
        <v>436.8</v>
      </c>
      <c r="AA44" s="43">
        <f>AVERAGE(C44:X44)</f>
        <v>428.33333333333331</v>
      </c>
      <c r="AB44" s="44">
        <f t="shared" ref="AB44:AB60" si="6">AA44/Z44-1</f>
        <v>-1.9383394383394426E-2</v>
      </c>
      <c r="AC44" s="11"/>
    </row>
    <row r="45" spans="1:29" ht="12.75" customHeight="1" x14ac:dyDescent="0.2">
      <c r="A45" s="60" t="s">
        <v>77</v>
      </c>
      <c r="B45" s="6" t="s">
        <v>50</v>
      </c>
      <c r="C45" s="42">
        <v>70.333333333333329</v>
      </c>
      <c r="D45" s="41">
        <v>59</v>
      </c>
      <c r="E45" s="41"/>
      <c r="F45" s="41"/>
      <c r="G45" s="42">
        <v>40</v>
      </c>
      <c r="H45" s="41">
        <v>55</v>
      </c>
      <c r="I45" s="42"/>
      <c r="J45" s="42">
        <v>52.2</v>
      </c>
      <c r="K45" s="42"/>
      <c r="L45" s="41">
        <v>55</v>
      </c>
      <c r="M45" s="41"/>
      <c r="N45" s="42"/>
      <c r="O45" s="42"/>
      <c r="P45" s="42"/>
      <c r="Q45" s="42"/>
      <c r="R45" s="42"/>
      <c r="S45" s="41"/>
      <c r="T45" s="42"/>
      <c r="U45" s="41">
        <v>76.847099999999998</v>
      </c>
      <c r="V45" s="42"/>
      <c r="W45" s="42"/>
      <c r="X45" s="41">
        <v>45</v>
      </c>
      <c r="Y45" s="11"/>
      <c r="Z45" s="42">
        <v>62.838586956521738</v>
      </c>
      <c r="AA45" s="43">
        <f t="shared" ref="AA45:AA57" si="7">AVERAGE(C45:X45)</f>
        <v>56.672554166666664</v>
      </c>
      <c r="AB45" s="44">
        <f t="shared" si="6"/>
        <v>-9.8124943422444821E-2</v>
      </c>
      <c r="AC45" s="11"/>
    </row>
    <row r="46" spans="1:29" ht="12.75" customHeight="1" x14ac:dyDescent="0.2">
      <c r="A46" s="60" t="s">
        <v>78</v>
      </c>
      <c r="B46" s="6" t="s">
        <v>50</v>
      </c>
      <c r="C46" s="42">
        <v>78.333333333333329</v>
      </c>
      <c r="D46" s="41">
        <v>62</v>
      </c>
      <c r="E46" s="41"/>
      <c r="F46" s="41"/>
      <c r="G46" s="42">
        <v>52</v>
      </c>
      <c r="H46" s="42">
        <v>63.96</v>
      </c>
      <c r="I46" s="42">
        <v>58</v>
      </c>
      <c r="J46" s="42">
        <v>65.099999999999994</v>
      </c>
      <c r="K46" s="42">
        <v>92</v>
      </c>
      <c r="L46" s="41">
        <v>75</v>
      </c>
      <c r="M46" s="41"/>
      <c r="N46" s="42"/>
      <c r="O46" s="42"/>
      <c r="P46" s="42"/>
      <c r="Q46" s="42"/>
      <c r="R46" s="42"/>
      <c r="S46" s="41"/>
      <c r="T46" s="42"/>
      <c r="U46" s="41">
        <v>97.44</v>
      </c>
      <c r="V46" s="42"/>
      <c r="W46" s="42"/>
      <c r="X46" s="42">
        <v>55</v>
      </c>
      <c r="Y46" s="11"/>
      <c r="Z46" s="42">
        <v>90.961660079051384</v>
      </c>
      <c r="AA46" s="43">
        <f t="shared" si="7"/>
        <v>69.883333333333326</v>
      </c>
      <c r="AB46" s="44">
        <f t="shared" si="6"/>
        <v>-0.23172759520219477</v>
      </c>
      <c r="AC46" s="11"/>
    </row>
    <row r="47" spans="1:29" ht="12.75" customHeight="1" x14ac:dyDescent="0.2">
      <c r="A47" s="50" t="s">
        <v>51</v>
      </c>
      <c r="B47" s="6" t="s">
        <v>50</v>
      </c>
      <c r="C47" s="41">
        <v>90.333333333333329</v>
      </c>
      <c r="D47" s="41"/>
      <c r="E47" s="41">
        <v>191.3</v>
      </c>
      <c r="F47" s="41"/>
      <c r="G47" s="41">
        <v>112</v>
      </c>
      <c r="H47" s="41">
        <v>94.04</v>
      </c>
      <c r="I47" s="41"/>
      <c r="J47" s="41">
        <v>112.8</v>
      </c>
      <c r="K47" s="41">
        <v>105</v>
      </c>
      <c r="L47" s="41">
        <v>170</v>
      </c>
      <c r="M47" s="41"/>
      <c r="N47" s="41"/>
      <c r="O47" s="41"/>
      <c r="P47" s="41"/>
      <c r="Q47" s="41"/>
      <c r="R47" s="41">
        <v>155</v>
      </c>
      <c r="S47" s="41">
        <v>60</v>
      </c>
      <c r="T47" s="41">
        <v>100</v>
      </c>
      <c r="U47" s="41">
        <v>113.1</v>
      </c>
      <c r="V47" s="42"/>
      <c r="W47" s="42">
        <v>145</v>
      </c>
      <c r="X47" s="42">
        <v>60</v>
      </c>
      <c r="Y47" s="11"/>
      <c r="Z47" s="42">
        <v>124.87823188405795</v>
      </c>
      <c r="AA47" s="43">
        <f t="shared" si="7"/>
        <v>116.04410256410256</v>
      </c>
      <c r="AB47" s="44">
        <f t="shared" si="6"/>
        <v>-7.074194746893403E-2</v>
      </c>
      <c r="AC47" s="11"/>
    </row>
    <row r="48" spans="1:29" ht="12.75" customHeight="1" x14ac:dyDescent="0.2">
      <c r="A48" s="50" t="s">
        <v>52</v>
      </c>
      <c r="B48" s="6" t="s">
        <v>50</v>
      </c>
      <c r="C48" s="41">
        <v>125.33333333333333</v>
      </c>
      <c r="D48" s="41"/>
      <c r="E48" s="41">
        <v>226.2</v>
      </c>
      <c r="F48" s="41">
        <v>128</v>
      </c>
      <c r="G48" s="41">
        <v>135</v>
      </c>
      <c r="H48" s="41">
        <v>128.85</v>
      </c>
      <c r="I48" s="41">
        <v>142</v>
      </c>
      <c r="J48" s="41">
        <v>147.19999999999999</v>
      </c>
      <c r="K48" s="41">
        <v>115</v>
      </c>
      <c r="L48" s="41">
        <v>190</v>
      </c>
      <c r="M48" s="41">
        <v>260</v>
      </c>
      <c r="N48" s="41"/>
      <c r="O48" s="41">
        <v>150</v>
      </c>
      <c r="P48" s="41">
        <v>145</v>
      </c>
      <c r="Q48" s="41"/>
      <c r="R48" s="41">
        <v>185</v>
      </c>
      <c r="S48" s="41">
        <v>150</v>
      </c>
      <c r="T48" s="41">
        <v>150</v>
      </c>
      <c r="U48" s="41">
        <v>129.41249999999999</v>
      </c>
      <c r="V48" s="42"/>
      <c r="W48" s="42">
        <v>180</v>
      </c>
      <c r="X48" s="42">
        <v>85</v>
      </c>
      <c r="Y48" s="11"/>
      <c r="Z48" s="42">
        <v>160.73009661835749</v>
      </c>
      <c r="AA48" s="43">
        <f t="shared" si="7"/>
        <v>153.99976851851849</v>
      </c>
      <c r="AB48" s="44">
        <f t="shared" si="6"/>
        <v>-4.187347759654314E-2</v>
      </c>
      <c r="AC48" s="11"/>
    </row>
    <row r="49" spans="1:29" ht="12.75" customHeight="1" x14ac:dyDescent="0.2">
      <c r="A49" s="50" t="s">
        <v>53</v>
      </c>
      <c r="B49" s="6" t="s">
        <v>50</v>
      </c>
      <c r="C49" s="41">
        <v>153.66666666666666</v>
      </c>
      <c r="D49" s="41"/>
      <c r="E49" s="41">
        <v>261</v>
      </c>
      <c r="F49" s="41">
        <v>139</v>
      </c>
      <c r="G49" s="41">
        <v>180</v>
      </c>
      <c r="H49" s="41">
        <v>161.87</v>
      </c>
      <c r="I49" s="41">
        <v>153</v>
      </c>
      <c r="J49" s="41">
        <v>176.4</v>
      </c>
      <c r="K49" s="41"/>
      <c r="L49" s="41">
        <v>200</v>
      </c>
      <c r="M49" s="41"/>
      <c r="N49" s="41"/>
      <c r="O49" s="41"/>
      <c r="P49" s="41">
        <v>170</v>
      </c>
      <c r="Q49" s="41"/>
      <c r="R49" s="41">
        <v>215</v>
      </c>
      <c r="S49" s="41"/>
      <c r="T49" s="41">
        <v>180</v>
      </c>
      <c r="U49" s="41">
        <v>148.91789999999997</v>
      </c>
      <c r="V49" s="41"/>
      <c r="W49" s="42">
        <v>205</v>
      </c>
      <c r="X49" s="41">
        <v>120</v>
      </c>
      <c r="Y49" s="11"/>
      <c r="Z49" s="42">
        <v>166.47695652173914</v>
      </c>
      <c r="AA49" s="43">
        <f t="shared" si="7"/>
        <v>175.98961190476192</v>
      </c>
      <c r="AB49" s="44">
        <f t="shared" si="6"/>
        <v>5.7140973632471281E-2</v>
      </c>
      <c r="AC49" s="11"/>
    </row>
    <row r="50" spans="1:29" ht="12.75" customHeight="1" x14ac:dyDescent="0.2">
      <c r="A50" s="50" t="s">
        <v>79</v>
      </c>
      <c r="B50" s="6" t="s">
        <v>50</v>
      </c>
      <c r="C50" s="41"/>
      <c r="D50" s="41">
        <v>61</v>
      </c>
      <c r="E50" s="41"/>
      <c r="F50" s="41"/>
      <c r="G50" s="41"/>
      <c r="H50" s="41">
        <v>57.88</v>
      </c>
      <c r="I50" s="41"/>
      <c r="J50" s="41">
        <v>69.900000000000006</v>
      </c>
      <c r="K50" s="41">
        <v>55</v>
      </c>
      <c r="L50" s="41">
        <v>65</v>
      </c>
      <c r="M50" s="41"/>
      <c r="N50" s="41"/>
      <c r="O50" s="41"/>
      <c r="P50" s="41"/>
      <c r="Q50" s="41"/>
      <c r="R50" s="41"/>
      <c r="S50" s="41">
        <v>67</v>
      </c>
      <c r="T50" s="41"/>
      <c r="U50" s="41">
        <v>92</v>
      </c>
      <c r="V50" s="41"/>
      <c r="W50" s="42"/>
      <c r="X50" s="41">
        <v>60</v>
      </c>
      <c r="Y50" s="11"/>
      <c r="Z50" s="42">
        <v>68.512500000000003</v>
      </c>
      <c r="AA50" s="43">
        <f t="shared" si="7"/>
        <v>65.972499999999997</v>
      </c>
      <c r="AB50" s="44">
        <f t="shared" si="6"/>
        <v>-3.7073526728699235E-2</v>
      </c>
      <c r="AC50" s="11"/>
    </row>
    <row r="51" spans="1:29" ht="12.75" customHeight="1" x14ac:dyDescent="0.2">
      <c r="A51" s="50" t="s">
        <v>84</v>
      </c>
      <c r="B51" s="6" t="s">
        <v>50</v>
      </c>
      <c r="C51" s="41"/>
      <c r="D51" s="41"/>
      <c r="E51" s="41"/>
      <c r="F51" s="41"/>
      <c r="G51" s="41"/>
      <c r="H51" s="41">
        <v>88.14</v>
      </c>
      <c r="I51" s="41">
        <v>90</v>
      </c>
      <c r="J51" s="41">
        <v>128.1</v>
      </c>
      <c r="K51" s="41">
        <v>140</v>
      </c>
      <c r="L51" s="41">
        <v>120</v>
      </c>
      <c r="M51" s="41"/>
      <c r="N51" s="41">
        <v>150</v>
      </c>
      <c r="O51" s="41"/>
      <c r="P51" s="41"/>
      <c r="Q51" s="41"/>
      <c r="R51" s="41"/>
      <c r="S51" s="41">
        <v>113</v>
      </c>
      <c r="T51" s="41">
        <v>110</v>
      </c>
      <c r="U51" s="41">
        <v>121.42</v>
      </c>
      <c r="V51" s="41"/>
      <c r="W51" s="41"/>
      <c r="X51" s="41">
        <v>130</v>
      </c>
      <c r="Y51" s="11"/>
      <c r="Z51" s="42">
        <v>113.13545454545455</v>
      </c>
      <c r="AA51" s="43">
        <f t="shared" si="7"/>
        <v>119.066</v>
      </c>
      <c r="AB51" s="44">
        <f t="shared" si="6"/>
        <v>5.2419866772734247E-2</v>
      </c>
      <c r="AC51" s="11"/>
    </row>
    <row r="52" spans="1:29" ht="12.75" customHeight="1" x14ac:dyDescent="0.2">
      <c r="A52" s="50" t="s">
        <v>54</v>
      </c>
      <c r="B52" s="6" t="s">
        <v>50</v>
      </c>
      <c r="C52" s="41"/>
      <c r="D52" s="41"/>
      <c r="E52" s="41"/>
      <c r="F52" s="41"/>
      <c r="G52" s="41"/>
      <c r="H52" s="41">
        <v>154.05000000000001</v>
      </c>
      <c r="I52" s="41">
        <v>180</v>
      </c>
      <c r="J52" s="41">
        <v>205.4</v>
      </c>
      <c r="K52" s="41">
        <v>215</v>
      </c>
      <c r="L52" s="41">
        <v>195</v>
      </c>
      <c r="M52" s="41"/>
      <c r="N52" s="41">
        <v>270</v>
      </c>
      <c r="O52" s="41"/>
      <c r="P52" s="41"/>
      <c r="Q52" s="41"/>
      <c r="R52" s="41"/>
      <c r="S52" s="41">
        <v>194</v>
      </c>
      <c r="T52" s="41">
        <v>200</v>
      </c>
      <c r="U52" s="41">
        <v>175.07</v>
      </c>
      <c r="V52" s="41"/>
      <c r="W52" s="41"/>
      <c r="X52" s="41">
        <v>160</v>
      </c>
      <c r="Y52" s="11"/>
      <c r="Z52" s="42">
        <v>196.29499999999999</v>
      </c>
      <c r="AA52" s="43">
        <f t="shared" si="7"/>
        <v>194.852</v>
      </c>
      <c r="AB52" s="44">
        <f t="shared" si="6"/>
        <v>-7.3511806210040387E-3</v>
      </c>
      <c r="AC52" s="11"/>
    </row>
    <row r="53" spans="1:29" ht="12.75" customHeight="1" x14ac:dyDescent="0.2">
      <c r="A53" s="50" t="s">
        <v>55</v>
      </c>
      <c r="B53" s="6" t="s">
        <v>50</v>
      </c>
      <c r="C53" s="41"/>
      <c r="D53" s="41"/>
      <c r="E53" s="41"/>
      <c r="F53" s="41"/>
      <c r="G53" s="41"/>
      <c r="H53" s="41">
        <v>214.98</v>
      </c>
      <c r="I53" s="41">
        <v>260</v>
      </c>
      <c r="J53" s="41">
        <v>299.8</v>
      </c>
      <c r="K53" s="41">
        <v>315</v>
      </c>
      <c r="L53" s="41">
        <v>285</v>
      </c>
      <c r="M53" s="41">
        <v>345</v>
      </c>
      <c r="N53" s="41">
        <v>320</v>
      </c>
      <c r="O53" s="41"/>
      <c r="P53" s="41"/>
      <c r="Q53" s="41"/>
      <c r="R53" s="41"/>
      <c r="S53" s="41">
        <v>300</v>
      </c>
      <c r="T53" s="41">
        <v>280</v>
      </c>
      <c r="U53" s="41">
        <v>276.29000000000002</v>
      </c>
      <c r="V53" s="41"/>
      <c r="W53" s="42"/>
      <c r="X53" s="41">
        <v>204</v>
      </c>
      <c r="Y53" s="11"/>
      <c r="Z53" s="42">
        <v>286.89249999999998</v>
      </c>
      <c r="AA53" s="43">
        <f t="shared" si="7"/>
        <v>281.82454545454544</v>
      </c>
      <c r="AB53" s="44">
        <f t="shared" si="6"/>
        <v>-1.7664994886428032E-2</v>
      </c>
      <c r="AC53" s="11"/>
    </row>
    <row r="54" spans="1:29" ht="12.75" customHeight="1" x14ac:dyDescent="0.2">
      <c r="A54" s="50" t="s">
        <v>56</v>
      </c>
      <c r="B54" s="6" t="s">
        <v>50</v>
      </c>
      <c r="C54" s="41"/>
      <c r="D54" s="41"/>
      <c r="E54" s="41"/>
      <c r="F54" s="41"/>
      <c r="G54" s="41"/>
      <c r="H54" s="41">
        <v>352.25</v>
      </c>
      <c r="I54" s="41"/>
      <c r="J54" s="41">
        <v>384.7</v>
      </c>
      <c r="K54" s="41">
        <v>398</v>
      </c>
      <c r="L54" s="41">
        <v>390</v>
      </c>
      <c r="M54" s="41">
        <v>410</v>
      </c>
      <c r="N54" s="41">
        <v>360</v>
      </c>
      <c r="O54" s="41"/>
      <c r="P54" s="41"/>
      <c r="Q54" s="41"/>
      <c r="R54" s="41"/>
      <c r="S54" s="41">
        <v>365</v>
      </c>
      <c r="T54" s="41">
        <v>360</v>
      </c>
      <c r="U54" s="41">
        <v>383.57</v>
      </c>
      <c r="V54" s="41"/>
      <c r="W54" s="42"/>
      <c r="X54" s="41">
        <v>302.5</v>
      </c>
      <c r="Y54" s="11"/>
      <c r="Z54" s="42">
        <v>376.01909090909089</v>
      </c>
      <c r="AA54" s="43">
        <f t="shared" si="7"/>
        <v>370.60199999999998</v>
      </c>
      <c r="AB54" s="44">
        <f t="shared" si="6"/>
        <v>-1.4406425205683471E-2</v>
      </c>
      <c r="AC54" s="11"/>
    </row>
    <row r="55" spans="1:29" s="11" customFormat="1" ht="22.5" x14ac:dyDescent="0.2">
      <c r="A55" s="45" t="s">
        <v>103</v>
      </c>
      <c r="B55" s="6" t="s">
        <v>50</v>
      </c>
      <c r="C55" s="41">
        <v>95</v>
      </c>
      <c r="D55" s="41"/>
      <c r="E55" s="41"/>
      <c r="F55" s="41"/>
      <c r="G55" s="41">
        <v>84</v>
      </c>
      <c r="H55" s="41">
        <v>100</v>
      </c>
      <c r="I55" s="41"/>
      <c r="J55" s="41"/>
      <c r="K55" s="41">
        <v>100</v>
      </c>
      <c r="L55" s="41"/>
      <c r="M55" s="41"/>
      <c r="N55" s="41"/>
      <c r="O55" s="41"/>
      <c r="P55" s="41"/>
      <c r="Q55" s="41"/>
      <c r="R55" s="41"/>
      <c r="S55" s="41">
        <v>59</v>
      </c>
      <c r="T55" s="41"/>
      <c r="U55" s="41">
        <v>129.13999999999999</v>
      </c>
      <c r="V55" s="41"/>
      <c r="W55" s="42"/>
      <c r="X55" s="41">
        <v>95</v>
      </c>
      <c r="Z55" s="41">
        <v>92.832857142857151</v>
      </c>
      <c r="AA55" s="43">
        <f t="shared" si="7"/>
        <v>94.591428571428565</v>
      </c>
      <c r="AB55" s="44">
        <f t="shared" si="6"/>
        <v>1.8943415970330557E-2</v>
      </c>
    </row>
    <row r="56" spans="1:29" s="11" customFormat="1" ht="22.5" x14ac:dyDescent="0.2">
      <c r="A56" s="46" t="s">
        <v>81</v>
      </c>
      <c r="B56" s="7" t="s">
        <v>50</v>
      </c>
      <c r="C56" s="41">
        <v>120</v>
      </c>
      <c r="D56" s="41"/>
      <c r="E56" s="42"/>
      <c r="F56" s="42"/>
      <c r="G56" s="42">
        <v>73</v>
      </c>
      <c r="H56" s="42">
        <v>90</v>
      </c>
      <c r="I56" s="42"/>
      <c r="J56" s="41"/>
      <c r="K56" s="42"/>
      <c r="L56" s="42">
        <v>115</v>
      </c>
      <c r="M56" s="42"/>
      <c r="N56" s="42"/>
      <c r="O56" s="41">
        <v>113.18</v>
      </c>
      <c r="P56" s="41"/>
      <c r="Q56" s="41"/>
      <c r="R56" s="41"/>
      <c r="S56" s="41"/>
      <c r="T56" s="41"/>
      <c r="U56" s="41"/>
      <c r="V56" s="41"/>
      <c r="W56" s="42"/>
      <c r="X56" s="41">
        <v>85</v>
      </c>
      <c r="Z56" s="47">
        <v>109.88285714285715</v>
      </c>
      <c r="AA56" s="43">
        <f t="shared" si="7"/>
        <v>99.363333333333344</v>
      </c>
      <c r="AB56" s="44">
        <f>AA56/Z56-1</f>
        <v>-9.5733985109683895E-2</v>
      </c>
    </row>
    <row r="57" spans="1:29" ht="12.75" customHeight="1" x14ac:dyDescent="0.2">
      <c r="A57" s="61" t="s">
        <v>80</v>
      </c>
      <c r="B57" s="7" t="s">
        <v>50</v>
      </c>
      <c r="C57" s="41"/>
      <c r="D57" s="42"/>
      <c r="E57" s="42"/>
      <c r="F57" s="42"/>
      <c r="G57" s="42">
        <v>90</v>
      </c>
      <c r="H57" s="42"/>
      <c r="I57" s="42"/>
      <c r="J57" s="42"/>
      <c r="K57" s="41">
        <v>120</v>
      </c>
      <c r="L57" s="42"/>
      <c r="M57" s="42"/>
      <c r="N57" s="42"/>
      <c r="O57" s="41"/>
      <c r="P57" s="41"/>
      <c r="Q57" s="41"/>
      <c r="R57" s="41"/>
      <c r="S57" s="41"/>
      <c r="T57" s="41"/>
      <c r="U57" s="41"/>
      <c r="V57" s="41"/>
      <c r="W57" s="42"/>
      <c r="X57" s="41"/>
      <c r="Y57" s="11"/>
      <c r="Z57" s="41">
        <v>125</v>
      </c>
      <c r="AA57" s="43">
        <f t="shared" si="7"/>
        <v>105</v>
      </c>
      <c r="AB57" s="44">
        <f t="shared" si="6"/>
        <v>-0.16000000000000003</v>
      </c>
      <c r="AC57" s="11"/>
    </row>
    <row r="58" spans="1:29" ht="12.75" customHeight="1" x14ac:dyDescent="0.2">
      <c r="A58" s="50" t="s">
        <v>92</v>
      </c>
      <c r="B58" s="7" t="s">
        <v>50</v>
      </c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11"/>
      <c r="Z58" s="41">
        <v>208.17090909090908</v>
      </c>
      <c r="AA58" s="42">
        <f>AVERAGE(AA50:AA54)</f>
        <v>206.46340909090904</v>
      </c>
      <c r="AB58" s="44">
        <f t="shared" si="6"/>
        <v>-8.2023948853217066E-3</v>
      </c>
      <c r="AC58" s="11"/>
    </row>
    <row r="59" spans="1:29" ht="12.75" customHeight="1" x14ac:dyDescent="0.2">
      <c r="A59" s="50" t="s">
        <v>93</v>
      </c>
      <c r="B59" s="7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11"/>
      <c r="Z59" s="41">
        <v>121.17710641194553</v>
      </c>
      <c r="AA59" s="42">
        <f>AVERAGE(AA45:AA49)</f>
        <v>114.51787409747658</v>
      </c>
      <c r="AB59" s="44">
        <f t="shared" si="6"/>
        <v>-5.4954541428235415E-2</v>
      </c>
      <c r="AC59" s="11"/>
    </row>
    <row r="60" spans="1:29" ht="12.75" customHeight="1" x14ac:dyDescent="0.2">
      <c r="A60" s="63" t="s">
        <v>102</v>
      </c>
      <c r="B60" s="7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Y60" s="11"/>
      <c r="Z60" s="41">
        <v>67.19</v>
      </c>
      <c r="AA60" s="41">
        <v>67.69</v>
      </c>
      <c r="AB60" s="44">
        <f t="shared" si="6"/>
        <v>7.4415835689833898E-3</v>
      </c>
      <c r="AC60" s="11"/>
    </row>
    <row r="61" spans="1:29" ht="12.75" customHeight="1" x14ac:dyDescent="0.2">
      <c r="A61" s="54"/>
      <c r="B61" s="7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Y61" s="11"/>
      <c r="Z61" s="41"/>
      <c r="AA61" s="42"/>
      <c r="AB61" s="44"/>
      <c r="AC61" s="11"/>
    </row>
    <row r="62" spans="1:29" ht="12.75" customHeight="1" x14ac:dyDescent="0.2">
      <c r="A62" s="61"/>
      <c r="B62" s="7"/>
      <c r="C62" s="64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4"/>
      <c r="P62" s="64"/>
      <c r="Q62" s="64"/>
      <c r="R62" s="64"/>
      <c r="S62" s="64"/>
      <c r="T62" s="64"/>
      <c r="U62" s="64"/>
      <c r="V62" s="64"/>
      <c r="W62" s="65"/>
      <c r="X62" s="64"/>
      <c r="Y62" s="11"/>
      <c r="Z62" s="64"/>
      <c r="AA62" s="65"/>
      <c r="AB62" s="62"/>
      <c r="AC62" s="11"/>
    </row>
    <row r="63" spans="1:29" ht="12.75" customHeight="1" x14ac:dyDescent="0.2">
      <c r="A63" s="61"/>
      <c r="B63" s="10"/>
      <c r="C63" s="64"/>
      <c r="D63" s="65"/>
      <c r="E63" s="65"/>
      <c r="F63" s="65"/>
      <c r="G63" s="65"/>
      <c r="H63" s="65"/>
      <c r="I63" s="65"/>
      <c r="J63" s="12"/>
      <c r="K63" s="65"/>
      <c r="L63" s="65"/>
      <c r="M63" s="65"/>
      <c r="N63" s="65"/>
      <c r="O63" s="64"/>
      <c r="P63" s="64"/>
      <c r="Q63" s="64"/>
      <c r="R63" s="64"/>
      <c r="S63" s="64"/>
      <c r="T63" s="64"/>
      <c r="U63" s="64"/>
      <c r="V63" s="64"/>
      <c r="W63" s="65"/>
      <c r="X63" s="64"/>
      <c r="Y63" s="11"/>
      <c r="Z63" s="64"/>
      <c r="AA63" s="65"/>
      <c r="AB63" s="62"/>
      <c r="AC63" s="11"/>
    </row>
    <row r="64" spans="1:29" ht="14.65" customHeight="1" thickBot="1" x14ac:dyDescent="0.25">
      <c r="A64" s="59" t="s">
        <v>112</v>
      </c>
      <c r="B64" s="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11"/>
      <c r="Z64" s="49"/>
      <c r="AA64" s="49"/>
      <c r="AB64" s="49"/>
      <c r="AC64" s="11"/>
    </row>
    <row r="65" spans="1:29" ht="12.75" customHeight="1" x14ac:dyDescent="0.2">
      <c r="A65" s="66" t="s">
        <v>82</v>
      </c>
      <c r="B65" s="15" t="s">
        <v>50</v>
      </c>
      <c r="C65" s="42">
        <v>153.30000000000001</v>
      </c>
      <c r="D65" s="41">
        <v>140</v>
      </c>
      <c r="E65" s="41">
        <v>220</v>
      </c>
      <c r="F65" s="41">
        <v>135</v>
      </c>
      <c r="G65" s="42">
        <v>113</v>
      </c>
      <c r="H65" s="42">
        <v>147.75</v>
      </c>
      <c r="I65" s="42"/>
      <c r="J65" s="42">
        <v>155.1</v>
      </c>
      <c r="K65" s="42">
        <v>150</v>
      </c>
      <c r="L65" s="42">
        <v>150</v>
      </c>
      <c r="M65" s="42">
        <v>100</v>
      </c>
      <c r="N65" s="42">
        <v>150</v>
      </c>
      <c r="O65" s="42">
        <v>165</v>
      </c>
      <c r="P65" s="67">
        <v>230</v>
      </c>
      <c r="Q65" s="42"/>
      <c r="R65" s="42">
        <v>130</v>
      </c>
      <c r="S65" s="41">
        <v>185</v>
      </c>
      <c r="T65" s="42"/>
      <c r="U65" s="41">
        <v>143.76</v>
      </c>
      <c r="V65" s="42">
        <v>170</v>
      </c>
      <c r="W65" s="41">
        <v>280</v>
      </c>
      <c r="X65" s="42">
        <v>100</v>
      </c>
      <c r="Y65" s="11"/>
      <c r="Z65" s="42">
        <v>159.71210526315789</v>
      </c>
      <c r="AA65" s="43">
        <f>AVERAGE(C65:X65)</f>
        <v>158.83736842105262</v>
      </c>
      <c r="AB65" s="44">
        <f>AA65/Z65-1</f>
        <v>-5.476960188233515E-3</v>
      </c>
      <c r="AC65" s="11"/>
    </row>
    <row r="66" spans="1:29" ht="12.75" customHeight="1" x14ac:dyDescent="0.2">
      <c r="A66" s="54"/>
      <c r="B66" s="55"/>
      <c r="C66" s="42"/>
      <c r="D66" s="42"/>
      <c r="E66" s="41"/>
      <c r="F66" s="41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11"/>
      <c r="Z66" s="42"/>
      <c r="AA66" s="43"/>
      <c r="AB66" s="44"/>
      <c r="AC66" s="11"/>
    </row>
    <row r="67" spans="1:29" ht="14.65" customHeight="1" thickBot="1" x14ac:dyDescent="0.25">
      <c r="A67" s="49" t="s">
        <v>109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11"/>
      <c r="Z67" s="49"/>
      <c r="AA67" s="49"/>
      <c r="AB67" s="49"/>
      <c r="AC67" s="11"/>
    </row>
    <row r="68" spans="1:29" s="11" customFormat="1" ht="28.5" customHeight="1" x14ac:dyDescent="0.2">
      <c r="A68" s="40" t="s">
        <v>108</v>
      </c>
      <c r="B68" s="6" t="s">
        <v>57</v>
      </c>
      <c r="C68" s="41">
        <v>230</v>
      </c>
      <c r="D68" s="41"/>
      <c r="E68" s="42"/>
      <c r="F68" s="42"/>
      <c r="G68" s="42"/>
      <c r="H68" s="42">
        <v>170</v>
      </c>
      <c r="I68" s="42"/>
      <c r="J68" s="41">
        <v>219.6</v>
      </c>
      <c r="K68" s="41"/>
      <c r="L68" s="41">
        <v>200</v>
      </c>
      <c r="M68" s="41"/>
      <c r="N68" s="41"/>
      <c r="O68" s="42">
        <v>220</v>
      </c>
      <c r="P68" s="41"/>
      <c r="Q68" s="42"/>
      <c r="R68" s="41"/>
      <c r="S68" s="42"/>
      <c r="T68" s="42"/>
      <c r="U68" s="42">
        <v>249.38</v>
      </c>
      <c r="V68" s="41"/>
      <c r="W68" s="41"/>
      <c r="X68" s="42"/>
      <c r="Z68" s="42">
        <v>208.48000000000002</v>
      </c>
      <c r="AA68" s="43">
        <f>AVERAGE(C68:X68)</f>
        <v>214.83</v>
      </c>
      <c r="AB68" s="44">
        <f>AA68/Z68-1</f>
        <v>3.0458557175748302E-2</v>
      </c>
    </row>
    <row r="69" spans="1:29" ht="15" customHeight="1" x14ac:dyDescent="0.2">
      <c r="A69" s="40" t="s">
        <v>110</v>
      </c>
      <c r="B69" s="6" t="s">
        <v>57</v>
      </c>
      <c r="C69" s="41">
        <v>160</v>
      </c>
      <c r="D69" s="41">
        <v>250</v>
      </c>
      <c r="E69" s="41"/>
      <c r="F69" s="41">
        <v>182.58</v>
      </c>
      <c r="G69" s="42"/>
      <c r="H69" s="42">
        <v>153.75</v>
      </c>
      <c r="I69" s="42">
        <v>200</v>
      </c>
      <c r="J69" s="41">
        <v>161.1</v>
      </c>
      <c r="K69" s="41">
        <v>150</v>
      </c>
      <c r="L69" s="41">
        <v>155</v>
      </c>
      <c r="M69" s="41">
        <v>180</v>
      </c>
      <c r="N69" s="41">
        <v>200</v>
      </c>
      <c r="O69" s="41"/>
      <c r="P69" s="42">
        <v>330</v>
      </c>
      <c r="Q69" s="42"/>
      <c r="R69" s="41">
        <v>110</v>
      </c>
      <c r="S69" s="42">
        <v>127</v>
      </c>
      <c r="T69" s="42">
        <v>160</v>
      </c>
      <c r="U69" s="42">
        <v>168.55</v>
      </c>
      <c r="V69" s="41">
        <v>280</v>
      </c>
      <c r="W69" s="41">
        <v>240</v>
      </c>
      <c r="X69" s="42">
        <v>125</v>
      </c>
      <c r="Y69" s="11"/>
      <c r="Z69" s="42">
        <v>185.18300000000002</v>
      </c>
      <c r="AA69" s="43">
        <f>AVERAGE(C69:X69)</f>
        <v>185.16555555555558</v>
      </c>
      <c r="AB69" s="44">
        <f>AA69/Z69-1</f>
        <v>-9.4201111573100071E-5</v>
      </c>
      <c r="AC69" s="11"/>
    </row>
    <row r="70" spans="1:29" ht="12.75" customHeight="1" x14ac:dyDescent="0.2">
      <c r="A70" s="50"/>
      <c r="B70" s="6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2"/>
      <c r="P70" s="42"/>
      <c r="Q70" s="42"/>
      <c r="R70" s="42"/>
      <c r="S70" s="42"/>
      <c r="T70" s="42"/>
      <c r="U70" s="42"/>
      <c r="V70" s="41"/>
      <c r="W70" s="41"/>
      <c r="X70" s="41"/>
      <c r="Y70" s="11"/>
      <c r="Z70" s="42"/>
      <c r="AA70" s="43"/>
      <c r="AB70" s="44"/>
      <c r="AC70" s="11"/>
    </row>
    <row r="71" spans="1:29" x14ac:dyDescent="0.2">
      <c r="A71" s="79" t="s">
        <v>114</v>
      </c>
      <c r="B71" s="12"/>
      <c r="C71" s="12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1"/>
      <c r="Z71" s="12"/>
      <c r="AA71" s="12"/>
      <c r="AB71" s="13"/>
      <c r="AC71" s="11"/>
    </row>
  </sheetData>
  <sheetProtection selectLockedCells="1" selectUnlockedCells="1"/>
  <mergeCells count="7">
    <mergeCell ref="C61:X61"/>
    <mergeCell ref="A2:AB2"/>
    <mergeCell ref="A3:AB3"/>
    <mergeCell ref="A4:B4"/>
    <mergeCell ref="C58:X58"/>
    <mergeCell ref="C59:X59"/>
    <mergeCell ref="C60:X60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17" customWidth="1"/>
    <col min="2" max="2" width="13.28515625" style="17" customWidth="1"/>
    <col min="3" max="3" width="19.7109375" style="17" customWidth="1"/>
    <col min="4" max="4" width="22.140625" style="17" customWidth="1"/>
    <col min="5" max="5" width="18.85546875" style="17" customWidth="1"/>
    <col min="6" max="16384" width="9.140625" style="17"/>
  </cols>
  <sheetData>
    <row r="1" spans="1:4" ht="12" customHeight="1" x14ac:dyDescent="0.2"/>
    <row r="2" spans="1:4" x14ac:dyDescent="0.2">
      <c r="A2" s="18" t="s">
        <v>58</v>
      </c>
      <c r="B2" s="18" t="s">
        <v>59</v>
      </c>
      <c r="C2" s="18" t="s">
        <v>60</v>
      </c>
      <c r="D2" s="18" t="s">
        <v>61</v>
      </c>
    </row>
    <row r="3" spans="1:4" ht="13.5" thickBot="1" x14ac:dyDescent="0.25">
      <c r="A3" s="75" t="s">
        <v>62</v>
      </c>
      <c r="B3" s="19">
        <v>1</v>
      </c>
      <c r="C3" s="19">
        <v>0.7</v>
      </c>
      <c r="D3" s="20">
        <v>0.61</v>
      </c>
    </row>
    <row r="4" spans="1:4" ht="14.25" thickTop="1" thickBot="1" x14ac:dyDescent="0.25">
      <c r="A4" s="75"/>
      <c r="B4" s="19">
        <v>1.43</v>
      </c>
      <c r="C4" s="19">
        <v>1</v>
      </c>
      <c r="D4" s="20">
        <v>0.87</v>
      </c>
    </row>
    <row r="5" spans="1:4" ht="14.25" thickTop="1" thickBot="1" x14ac:dyDescent="0.25">
      <c r="A5" s="75"/>
      <c r="B5" s="21">
        <v>1.65</v>
      </c>
      <c r="C5" s="21">
        <v>1.1499999999999999</v>
      </c>
      <c r="D5" s="22">
        <v>1</v>
      </c>
    </row>
    <row r="6" spans="1:4" ht="14.25" thickTop="1" thickBot="1" x14ac:dyDescent="0.25">
      <c r="A6" s="75" t="s">
        <v>63</v>
      </c>
      <c r="B6" s="19">
        <v>1</v>
      </c>
      <c r="C6" s="19">
        <v>0.61</v>
      </c>
      <c r="D6" s="20">
        <v>0.57999999999999996</v>
      </c>
    </row>
    <row r="7" spans="1:4" ht="14.25" thickTop="1" thickBot="1" x14ac:dyDescent="0.25">
      <c r="A7" s="75"/>
      <c r="B7" s="19">
        <v>1.64</v>
      </c>
      <c r="C7" s="19">
        <v>1</v>
      </c>
      <c r="D7" s="20">
        <v>0.95</v>
      </c>
    </row>
    <row r="8" spans="1:4" ht="14.25" thickTop="1" thickBot="1" x14ac:dyDescent="0.25">
      <c r="A8" s="75"/>
      <c r="B8" s="21">
        <v>1.74</v>
      </c>
      <c r="C8" s="21">
        <v>1.06</v>
      </c>
      <c r="D8" s="22">
        <v>1</v>
      </c>
    </row>
    <row r="9" spans="1:4" ht="14.25" thickTop="1" thickBot="1" x14ac:dyDescent="0.25">
      <c r="A9" s="75" t="s">
        <v>64</v>
      </c>
      <c r="B9" s="19">
        <v>1</v>
      </c>
      <c r="C9" s="19">
        <v>0.5</v>
      </c>
      <c r="D9" s="20">
        <v>0.34</v>
      </c>
    </row>
    <row r="10" spans="1:4" ht="14.25" thickTop="1" thickBot="1" x14ac:dyDescent="0.25">
      <c r="A10" s="75"/>
      <c r="B10" s="19">
        <v>2</v>
      </c>
      <c r="C10" s="19">
        <v>1</v>
      </c>
      <c r="D10" s="20">
        <v>0.68</v>
      </c>
    </row>
    <row r="11" spans="1:4" ht="14.25" thickTop="1" thickBot="1" x14ac:dyDescent="0.25">
      <c r="A11" s="75"/>
      <c r="B11" s="21">
        <v>2.94</v>
      </c>
      <c r="C11" s="21">
        <v>1.47</v>
      </c>
      <c r="D11" s="22">
        <v>1</v>
      </c>
    </row>
    <row r="12" spans="1:4" s="24" customFormat="1" ht="28.5" customHeight="1" thickTop="1" thickBot="1" x14ac:dyDescent="0.25">
      <c r="A12" s="23" t="s">
        <v>65</v>
      </c>
      <c r="B12" s="76" t="s">
        <v>66</v>
      </c>
      <c r="C12" s="76"/>
      <c r="D12" s="76"/>
    </row>
    <row r="13" spans="1:4" ht="13.5" thickTop="1" x14ac:dyDescent="0.2">
      <c r="A13" s="25" t="s">
        <v>67</v>
      </c>
    </row>
    <row r="16" spans="1:4" x14ac:dyDescent="0.2">
      <c r="A16" s="77" t="s">
        <v>96</v>
      </c>
      <c r="B16" s="32" t="s">
        <v>99</v>
      </c>
      <c r="C16" s="32" t="s">
        <v>98</v>
      </c>
      <c r="D16" s="32" t="s">
        <v>97</v>
      </c>
    </row>
    <row r="17" spans="1:4" x14ac:dyDescent="0.2">
      <c r="A17" s="78"/>
      <c r="B17" s="33">
        <v>1.39</v>
      </c>
      <c r="C17" s="34">
        <v>1</v>
      </c>
      <c r="D17" s="34">
        <v>1</v>
      </c>
    </row>
    <row r="19" spans="1:4" x14ac:dyDescent="0.2">
      <c r="A19" s="26" t="s">
        <v>68</v>
      </c>
      <c r="B19" s="27" t="s">
        <v>69</v>
      </c>
      <c r="C19" s="27" t="s">
        <v>70</v>
      </c>
      <c r="D19" s="27" t="s">
        <v>71</v>
      </c>
    </row>
    <row r="20" spans="1:4" x14ac:dyDescent="0.2">
      <c r="A20" s="28" t="s">
        <v>72</v>
      </c>
      <c r="B20" s="29">
        <v>415</v>
      </c>
      <c r="C20" s="29">
        <v>356</v>
      </c>
      <c r="D20" s="29">
        <f>AVERAGE(B20:C20)</f>
        <v>385.5</v>
      </c>
    </row>
    <row r="21" spans="1:4" x14ac:dyDescent="0.2">
      <c r="A21" s="30" t="s">
        <v>73</v>
      </c>
      <c r="B21" s="30"/>
      <c r="C21" s="30"/>
      <c r="D21" s="30"/>
    </row>
    <row r="23" spans="1:4" x14ac:dyDescent="0.2">
      <c r="A23" s="35" t="s">
        <v>101</v>
      </c>
      <c r="B23" s="31"/>
      <c r="C23" s="31"/>
      <c r="D23" s="31"/>
    </row>
    <row r="24" spans="1:4" x14ac:dyDescent="0.2">
      <c r="A24" s="73" t="s">
        <v>100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Signor</cp:lastModifiedBy>
  <cp:lastPrinted>2025-03-12T19:45:26Z</cp:lastPrinted>
  <dcterms:created xsi:type="dcterms:W3CDTF">2020-06-24T18:57:09Z</dcterms:created>
  <dcterms:modified xsi:type="dcterms:W3CDTF">2025-07-02T12:53:03Z</dcterms:modified>
</cp:coreProperties>
</file>